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Ex1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charts/chartEx2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charts/chartEx3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charts/chartEx4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xl/charts/chartEx5.xml" ContentType="application/vnd.ms-office.chartex+xml"/>
  <Override PartName="/xl/charts/style15.xml" ContentType="application/vnd.ms-office.chartstyle+xml"/>
  <Override PartName="/xl/charts/colors15.xml" ContentType="application/vnd.ms-office.chartcolorstyle+xml"/>
  <Override PartName="/xl/charts/chartEx6.xml" ContentType="application/vnd.ms-office.chartex+xml"/>
  <Override PartName="/xl/charts/style16.xml" ContentType="application/vnd.ms-office.chartstyle+xml"/>
  <Override PartName="/xl/charts/colors16.xml" ContentType="application/vnd.ms-office.chartcolorstyle+xml"/>
  <Override PartName="/xl/charts/chartEx7.xml" ContentType="application/vnd.ms-office.chartex+xml"/>
  <Override PartName="/xl/charts/style17.xml" ContentType="application/vnd.ms-office.chartstyle+xml"/>
  <Override PartName="/xl/charts/colors17.xml" ContentType="application/vnd.ms-office.chartcolorstyle+xml"/>
  <Override PartName="/xl/charts/chart11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2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13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14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15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16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depaor2\Desktop\EUCASS_2025\"/>
    </mc:Choice>
  </mc:AlternateContent>
  <xr:revisionPtr revIDLastSave="0" documentId="13_ncr:1_{4A9ABD0E-BC26-4848-B9D1-98F1884C06C9}" xr6:coauthVersionLast="47" xr6:coauthVersionMax="47" xr10:uidLastSave="{00000000-0000-0000-0000-000000000000}"/>
  <bookViews>
    <workbookView xWindow="-120" yWindow="-120" windowWidth="29040" windowHeight="15720" activeTab="1" xr2:uid="{DA27C19A-18DB-4E19-9AD3-8F88A97C8EE8}"/>
  </bookViews>
  <sheets>
    <sheet name="Raw Data" sheetId="1" r:id="rId1"/>
    <sheet name="outliers removed" sheetId="4" r:id="rId2"/>
    <sheet name="Norm(mean)^2" sheetId="3" r:id="rId3"/>
  </sheets>
  <definedNames>
    <definedName name="_xlchart.v1.0" hidden="1">'Raw Data'!$B$2:$B$35</definedName>
    <definedName name="_xlchart.v1.1" hidden="1">'Raw Data'!$J$2:$J$35</definedName>
    <definedName name="_xlchart.v1.2" hidden="1">'Raw Data'!$K$2:$K$35</definedName>
    <definedName name="_xlchart.v1.3" hidden="1">'Raw Data'!$L$2:$L$35</definedName>
    <definedName name="_xlchart.v1.4" hidden="1">'Raw Data'!$N$2:$N$35</definedName>
    <definedName name="_xlchart.v1.5" hidden="1">'Raw Data'!$M$2:$M$35</definedName>
    <definedName name="_xlchart.v1.6" hidden="1">'Raw Data'!$AB$2:$AB$35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5" i="1" l="1"/>
  <c r="T24" i="1"/>
  <c r="T17" i="1"/>
  <c r="T18" i="1"/>
  <c r="T19" i="1"/>
  <c r="T20" i="1"/>
  <c r="T21" i="1"/>
  <c r="T22" i="1"/>
  <c r="T23" i="1"/>
  <c r="T16" i="1"/>
  <c r="T15" i="1"/>
  <c r="T11" i="1"/>
  <c r="T9" i="1"/>
  <c r="T10" i="1"/>
  <c r="T8" i="1"/>
  <c r="T7" i="1"/>
  <c r="O28" i="4" l="1"/>
  <c r="N28" i="4"/>
  <c r="D28" i="4"/>
  <c r="C28" i="4"/>
  <c r="B28" i="4"/>
  <c r="O27" i="4"/>
  <c r="N27" i="4"/>
  <c r="E27" i="4"/>
  <c r="D27" i="4"/>
  <c r="C27" i="4"/>
  <c r="B27" i="4"/>
  <c r="O26" i="4"/>
  <c r="N26" i="4"/>
  <c r="C26" i="4"/>
  <c r="B26" i="4"/>
  <c r="P25" i="4"/>
  <c r="O25" i="4"/>
  <c r="N25" i="4"/>
  <c r="D25" i="4"/>
  <c r="C25" i="4"/>
  <c r="B25" i="4"/>
  <c r="F25" i="4" s="1"/>
  <c r="H25" i="4" s="1"/>
  <c r="O24" i="4"/>
  <c r="N24" i="4"/>
  <c r="D24" i="4"/>
  <c r="C24" i="4"/>
  <c r="B24" i="4"/>
  <c r="F24" i="4" s="1"/>
  <c r="H24" i="4" s="1"/>
  <c r="O23" i="4"/>
  <c r="N23" i="4"/>
  <c r="E23" i="4"/>
  <c r="D23" i="4"/>
  <c r="C23" i="4"/>
  <c r="B23" i="4"/>
  <c r="P22" i="4"/>
  <c r="O22" i="4"/>
  <c r="N22" i="4"/>
  <c r="E22" i="4"/>
  <c r="D22" i="4"/>
  <c r="C22" i="4"/>
  <c r="B22" i="4"/>
  <c r="P21" i="4"/>
  <c r="O21" i="4"/>
  <c r="N21" i="4"/>
  <c r="D21" i="4"/>
  <c r="C21" i="4"/>
  <c r="B21" i="4"/>
  <c r="F21" i="4" s="1"/>
  <c r="O20" i="4"/>
  <c r="N20" i="4"/>
  <c r="C20" i="4"/>
  <c r="B20" i="4"/>
  <c r="O19" i="4"/>
  <c r="N19" i="4"/>
  <c r="D19" i="4"/>
  <c r="C19" i="4"/>
  <c r="B19" i="4"/>
  <c r="F19" i="4" s="1"/>
  <c r="O18" i="4"/>
  <c r="N18" i="4"/>
  <c r="C18" i="4"/>
  <c r="B18" i="4"/>
  <c r="F18" i="4" s="1"/>
  <c r="H18" i="4" s="1"/>
  <c r="O17" i="4"/>
  <c r="N17" i="4"/>
  <c r="C17" i="4"/>
  <c r="B17" i="4"/>
  <c r="O16" i="4"/>
  <c r="N16" i="4"/>
  <c r="D16" i="4"/>
  <c r="C16" i="4"/>
  <c r="B16" i="4"/>
  <c r="O15" i="4"/>
  <c r="N15" i="4"/>
  <c r="E15" i="4"/>
  <c r="D15" i="4"/>
  <c r="C15" i="4"/>
  <c r="B15" i="4"/>
  <c r="P14" i="4"/>
  <c r="O14" i="4"/>
  <c r="N14" i="4"/>
  <c r="D14" i="4"/>
  <c r="C14" i="4"/>
  <c r="B14" i="4"/>
  <c r="P13" i="4"/>
  <c r="O13" i="4"/>
  <c r="N13" i="4"/>
  <c r="D13" i="4"/>
  <c r="C13" i="4"/>
  <c r="B13" i="4"/>
  <c r="O12" i="4"/>
  <c r="N12" i="4"/>
  <c r="D12" i="4"/>
  <c r="C12" i="4"/>
  <c r="B12" i="4"/>
  <c r="O11" i="4"/>
  <c r="N11" i="4"/>
  <c r="D11" i="4"/>
  <c r="C11" i="4"/>
  <c r="B11" i="4"/>
  <c r="F11" i="4" s="1"/>
  <c r="H11" i="4" s="1"/>
  <c r="O10" i="4"/>
  <c r="N10" i="4"/>
  <c r="F10" i="4"/>
  <c r="H10" i="4" s="1"/>
  <c r="D10" i="4"/>
  <c r="C10" i="4"/>
  <c r="O9" i="4"/>
  <c r="N9" i="4"/>
  <c r="F9" i="4"/>
  <c r="H9" i="4" s="1"/>
  <c r="D9" i="4"/>
  <c r="C9" i="4"/>
  <c r="O8" i="4"/>
  <c r="N8" i="4"/>
  <c r="F8" i="4"/>
  <c r="H8" i="4" s="1"/>
  <c r="D8" i="4"/>
  <c r="C8" i="4"/>
  <c r="O7" i="4"/>
  <c r="N7" i="4"/>
  <c r="F7" i="4"/>
  <c r="H7" i="4" s="1"/>
  <c r="D7" i="4"/>
  <c r="C7" i="4"/>
  <c r="O6" i="4"/>
  <c r="C6" i="4"/>
  <c r="B6" i="4" s="1"/>
  <c r="Q5" i="4"/>
  <c r="B5" i="4"/>
  <c r="R5" i="4" s="1"/>
  <c r="Q4" i="4"/>
  <c r="B4" i="4"/>
  <c r="R4" i="4" s="1"/>
  <c r="J3" i="4"/>
  <c r="E3" i="4"/>
  <c r="D3" i="4"/>
  <c r="C3" i="4"/>
  <c r="O2" i="4"/>
  <c r="Q2" i="4" s="1"/>
  <c r="D2" i="4"/>
  <c r="B2" i="4"/>
  <c r="F2" i="4" s="1"/>
  <c r="H2" i="4" s="1"/>
  <c r="J2" i="3"/>
  <c r="K2" i="3"/>
  <c r="L2" i="3"/>
  <c r="J3" i="3"/>
  <c r="K3" i="3"/>
  <c r="L3" i="3"/>
  <c r="J4" i="3"/>
  <c r="K4" i="3"/>
  <c r="L4" i="3"/>
  <c r="J5" i="3"/>
  <c r="K5" i="3"/>
  <c r="L5" i="3"/>
  <c r="J6" i="3"/>
  <c r="K6" i="3"/>
  <c r="L6" i="3"/>
  <c r="J7" i="3"/>
  <c r="K7" i="3"/>
  <c r="L7" i="3"/>
  <c r="J8" i="3"/>
  <c r="K8" i="3"/>
  <c r="L8" i="3"/>
  <c r="J9" i="3"/>
  <c r="K9" i="3"/>
  <c r="L9" i="3"/>
  <c r="J10" i="3"/>
  <c r="K10" i="3"/>
  <c r="L10" i="3"/>
  <c r="J11" i="3"/>
  <c r="K11" i="3"/>
  <c r="L11" i="3"/>
  <c r="J12" i="3"/>
  <c r="K12" i="3"/>
  <c r="L12" i="3"/>
  <c r="J13" i="3"/>
  <c r="K13" i="3"/>
  <c r="L13" i="3"/>
  <c r="J14" i="3"/>
  <c r="K14" i="3"/>
  <c r="L14" i="3"/>
  <c r="J15" i="3"/>
  <c r="K15" i="3"/>
  <c r="L15" i="3"/>
  <c r="J16" i="3"/>
  <c r="K16" i="3"/>
  <c r="L16" i="3"/>
  <c r="J17" i="3"/>
  <c r="K17" i="3"/>
  <c r="L17" i="3"/>
  <c r="J18" i="3"/>
  <c r="K18" i="3"/>
  <c r="L18" i="3"/>
  <c r="J19" i="3"/>
  <c r="K19" i="3"/>
  <c r="L19" i="3"/>
  <c r="J20" i="3"/>
  <c r="K20" i="3"/>
  <c r="L20" i="3"/>
  <c r="J21" i="3"/>
  <c r="K21" i="3"/>
  <c r="L21" i="3"/>
  <c r="J22" i="3"/>
  <c r="K22" i="3"/>
  <c r="L22" i="3"/>
  <c r="J23" i="3"/>
  <c r="K23" i="3"/>
  <c r="L23" i="3"/>
  <c r="J24" i="3"/>
  <c r="K24" i="3"/>
  <c r="L24" i="3"/>
  <c r="J25" i="3"/>
  <c r="K25" i="3"/>
  <c r="L25" i="3"/>
  <c r="J26" i="3"/>
  <c r="K26" i="3"/>
  <c r="L26" i="3"/>
  <c r="J27" i="3"/>
  <c r="K27" i="3"/>
  <c r="L27" i="3"/>
  <c r="J28" i="3"/>
  <c r="K28" i="3"/>
  <c r="L28" i="3"/>
  <c r="J29" i="3"/>
  <c r="K29" i="3"/>
  <c r="L29" i="3"/>
  <c r="J30" i="3"/>
  <c r="K30" i="3"/>
  <c r="L30" i="3"/>
  <c r="J31" i="3"/>
  <c r="K31" i="3"/>
  <c r="L31" i="3"/>
  <c r="J32" i="3"/>
  <c r="K32" i="3"/>
  <c r="L32" i="3"/>
  <c r="J33" i="3"/>
  <c r="K33" i="3"/>
  <c r="L33" i="3"/>
  <c r="J34" i="3"/>
  <c r="K34" i="3"/>
  <c r="L34" i="3"/>
  <c r="J35" i="3"/>
  <c r="K35" i="3"/>
  <c r="L35" i="3"/>
  <c r="H26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7" i="3"/>
  <c r="H28" i="3"/>
  <c r="H29" i="3"/>
  <c r="H30" i="3"/>
  <c r="H31" i="3"/>
  <c r="H32" i="3"/>
  <c r="H33" i="3"/>
  <c r="H34" i="3"/>
  <c r="H35" i="3"/>
  <c r="H2" i="3"/>
  <c r="B3" i="4" l="1"/>
  <c r="R3" i="4" s="1"/>
  <c r="R7" i="4"/>
  <c r="Q17" i="4"/>
  <c r="R28" i="4"/>
  <c r="Q28" i="4"/>
  <c r="R12" i="4"/>
  <c r="Q3" i="4"/>
  <c r="R10" i="4"/>
  <c r="Q8" i="4"/>
  <c r="Q21" i="4"/>
  <c r="F23" i="4"/>
  <c r="H23" i="4" s="1"/>
  <c r="R25" i="4"/>
  <c r="F4" i="4"/>
  <c r="H4" i="4" s="1"/>
  <c r="Q23" i="4"/>
  <c r="R11" i="4"/>
  <c r="Q26" i="4"/>
  <c r="Q20" i="4"/>
  <c r="R18" i="4"/>
  <c r="Q10" i="4"/>
  <c r="F12" i="4"/>
  <c r="G12" i="4" s="1"/>
  <c r="R9" i="4"/>
  <c r="Q12" i="4"/>
  <c r="F22" i="4"/>
  <c r="H22" i="4" s="1"/>
  <c r="R26" i="4"/>
  <c r="Q6" i="4"/>
  <c r="Q22" i="4"/>
  <c r="Q14" i="4"/>
  <c r="Q27" i="4"/>
  <c r="Q19" i="4"/>
  <c r="Q25" i="4"/>
  <c r="Q11" i="4"/>
  <c r="Q13" i="4"/>
  <c r="Q24" i="4"/>
  <c r="Q15" i="4"/>
  <c r="Q7" i="4"/>
  <c r="R16" i="4"/>
  <c r="F26" i="4"/>
  <c r="H26" i="4" s="1"/>
  <c r="Q16" i="4"/>
  <c r="Q18" i="4"/>
  <c r="R6" i="4"/>
  <c r="F6" i="4"/>
  <c r="H6" i="4" s="1"/>
  <c r="G19" i="4"/>
  <c r="H19" i="4"/>
  <c r="G11" i="4"/>
  <c r="R17" i="4"/>
  <c r="R24" i="4"/>
  <c r="G25" i="4"/>
  <c r="F17" i="4"/>
  <c r="H17" i="4" s="1"/>
  <c r="R21" i="4"/>
  <c r="R22" i="4"/>
  <c r="R23" i="4"/>
  <c r="G24" i="4"/>
  <c r="F16" i="4"/>
  <c r="H16" i="4" s="1"/>
  <c r="R20" i="4"/>
  <c r="G21" i="4"/>
  <c r="F3" i="4"/>
  <c r="H3" i="4" s="1"/>
  <c r="Q9" i="4"/>
  <c r="R14" i="4"/>
  <c r="R15" i="4"/>
  <c r="F20" i="4"/>
  <c r="G20" i="4" s="1"/>
  <c r="H21" i="4"/>
  <c r="R13" i="4"/>
  <c r="F14" i="4"/>
  <c r="H14" i="4" s="1"/>
  <c r="F15" i="4"/>
  <c r="G15" i="4" s="1"/>
  <c r="F27" i="4"/>
  <c r="H27" i="4" s="1"/>
  <c r="G18" i="4"/>
  <c r="F5" i="4"/>
  <c r="H5" i="4" s="1"/>
  <c r="R8" i="4"/>
  <c r="F28" i="4"/>
  <c r="H28" i="4" s="1"/>
  <c r="G28" i="4"/>
  <c r="R2" i="4"/>
  <c r="F13" i="4"/>
  <c r="G13" i="4" s="1"/>
  <c r="R19" i="4"/>
  <c r="R27" i="4"/>
  <c r="O34" i="1"/>
  <c r="O33" i="1"/>
  <c r="O32" i="1"/>
  <c r="C32" i="1"/>
  <c r="O31" i="1"/>
  <c r="D31" i="1"/>
  <c r="O30" i="1"/>
  <c r="D30" i="1"/>
  <c r="B30" i="1"/>
  <c r="O29" i="1"/>
  <c r="C29" i="1"/>
  <c r="O28" i="1"/>
  <c r="C28" i="1"/>
  <c r="O27" i="1"/>
  <c r="D27" i="1"/>
  <c r="C27" i="1"/>
  <c r="O26" i="1"/>
  <c r="C26" i="1"/>
  <c r="O25" i="1"/>
  <c r="C25" i="1"/>
  <c r="P24" i="1"/>
  <c r="O24" i="1"/>
  <c r="N24" i="1"/>
  <c r="D24" i="1"/>
  <c r="C24" i="1"/>
  <c r="B24" i="1"/>
  <c r="O23" i="1"/>
  <c r="N23" i="1"/>
  <c r="C23" i="1"/>
  <c r="B23" i="1"/>
  <c r="O22" i="1"/>
  <c r="N22" i="1"/>
  <c r="B22" i="1"/>
  <c r="D22" i="1"/>
  <c r="C22" i="1"/>
  <c r="O21" i="1"/>
  <c r="C21" i="1"/>
  <c r="O20" i="1"/>
  <c r="C20" i="1"/>
  <c r="O19" i="1"/>
  <c r="C19" i="1"/>
  <c r="O18" i="1"/>
  <c r="C18" i="1"/>
  <c r="O17" i="1"/>
  <c r="C17" i="1"/>
  <c r="O16" i="1"/>
  <c r="P16" i="1"/>
  <c r="N16" i="1"/>
  <c r="D17" i="1"/>
  <c r="C16" i="1"/>
  <c r="O15" i="1"/>
  <c r="D15" i="1"/>
  <c r="O14" i="1"/>
  <c r="D11" i="1"/>
  <c r="D10" i="1"/>
  <c r="R7" i="1"/>
  <c r="O13" i="1"/>
  <c r="O12" i="1"/>
  <c r="P12" i="1"/>
  <c r="N12" i="1"/>
  <c r="D12" i="1"/>
  <c r="C12" i="1"/>
  <c r="N11" i="1"/>
  <c r="O11" i="1"/>
  <c r="C11" i="1"/>
  <c r="O10" i="1"/>
  <c r="N10" i="1"/>
  <c r="C10" i="1"/>
  <c r="N9" i="1"/>
  <c r="O9" i="1"/>
  <c r="D9" i="1"/>
  <c r="C9" i="1"/>
  <c r="D8" i="1"/>
  <c r="O8" i="1"/>
  <c r="N8" i="1"/>
  <c r="C8" i="1"/>
  <c r="O6" i="1"/>
  <c r="C6" i="1"/>
  <c r="C3" i="1"/>
  <c r="E3" i="1"/>
  <c r="D3" i="1"/>
  <c r="J3" i="1"/>
  <c r="O2" i="1"/>
  <c r="D2" i="1"/>
  <c r="Q4" i="1"/>
  <c r="Q5" i="1"/>
  <c r="Q7" i="1"/>
  <c r="N8" i="3" l="1"/>
  <c r="N11" i="3"/>
  <c r="N19" i="3"/>
  <c r="N20" i="3"/>
  <c r="F24" i="1"/>
  <c r="N27" i="3"/>
  <c r="N33" i="3"/>
  <c r="N21" i="3"/>
  <c r="N28" i="3"/>
  <c r="Q2" i="1"/>
  <c r="N2" i="3"/>
  <c r="N7" i="3"/>
  <c r="N5" i="3"/>
  <c r="N3" i="3"/>
  <c r="N35" i="3"/>
  <c r="N4" i="3"/>
  <c r="N9" i="3"/>
  <c r="N12" i="3"/>
  <c r="N16" i="3"/>
  <c r="N24" i="3"/>
  <c r="N29" i="3"/>
  <c r="Q13" i="1"/>
  <c r="N13" i="3"/>
  <c r="N17" i="3"/>
  <c r="N22" i="3"/>
  <c r="N25" i="3"/>
  <c r="N30" i="3"/>
  <c r="N10" i="3"/>
  <c r="N18" i="3"/>
  <c r="N6" i="3"/>
  <c r="N14" i="3"/>
  <c r="N26" i="3"/>
  <c r="N31" i="3"/>
  <c r="N15" i="3"/>
  <c r="N23" i="3"/>
  <c r="N32" i="3"/>
  <c r="N34" i="3"/>
  <c r="G23" i="4"/>
  <c r="G22" i="4"/>
  <c r="H15" i="4"/>
  <c r="G27" i="4"/>
  <c r="H12" i="4"/>
  <c r="G26" i="4"/>
  <c r="H20" i="4"/>
  <c r="G14" i="4"/>
  <c r="G17" i="4"/>
  <c r="G16" i="4"/>
  <c r="H13" i="4"/>
  <c r="R22" i="1"/>
  <c r="R23" i="1"/>
  <c r="R10" i="1"/>
  <c r="Q24" i="1"/>
  <c r="R11" i="1"/>
  <c r="R9" i="1"/>
  <c r="R12" i="1"/>
  <c r="H24" i="1"/>
  <c r="R24" i="1"/>
  <c r="R8" i="1"/>
  <c r="Q6" i="1"/>
  <c r="Q10" i="1"/>
  <c r="Q3" i="1"/>
  <c r="Q11" i="1"/>
  <c r="Q9" i="1"/>
  <c r="Q8" i="1"/>
  <c r="N35" i="1"/>
  <c r="C35" i="1"/>
  <c r="B35" i="1"/>
  <c r="N34" i="1"/>
  <c r="D34" i="1"/>
  <c r="C34" i="1"/>
  <c r="B34" i="1"/>
  <c r="N33" i="1"/>
  <c r="E33" i="1"/>
  <c r="D33" i="1"/>
  <c r="C33" i="1"/>
  <c r="B33" i="1"/>
  <c r="N32" i="1"/>
  <c r="J32" i="1"/>
  <c r="I22" i="3" s="1"/>
  <c r="E32" i="1"/>
  <c r="D32" i="1"/>
  <c r="B32" i="1"/>
  <c r="N31" i="1"/>
  <c r="E31" i="1"/>
  <c r="C31" i="1"/>
  <c r="B31" i="1"/>
  <c r="N30" i="1"/>
  <c r="E30" i="1"/>
  <c r="C30" i="1"/>
  <c r="N29" i="1"/>
  <c r="B29" i="1"/>
  <c r="P28" i="1"/>
  <c r="N28" i="1"/>
  <c r="D28" i="1"/>
  <c r="B28" i="1"/>
  <c r="N27" i="1"/>
  <c r="B27" i="1"/>
  <c r="N26" i="1"/>
  <c r="E26" i="1"/>
  <c r="D26" i="1"/>
  <c r="B26" i="1"/>
  <c r="P25" i="1"/>
  <c r="N25" i="1"/>
  <c r="E25" i="1"/>
  <c r="D25" i="1"/>
  <c r="B25" i="1"/>
  <c r="F23" i="1"/>
  <c r="N21" i="1"/>
  <c r="B21" i="1"/>
  <c r="N20" i="1"/>
  <c r="B20" i="1"/>
  <c r="N19" i="1"/>
  <c r="D19" i="1"/>
  <c r="B19" i="1"/>
  <c r="N18" i="1"/>
  <c r="E18" i="1"/>
  <c r="D18" i="1"/>
  <c r="B18" i="1"/>
  <c r="P17" i="1"/>
  <c r="N17" i="1"/>
  <c r="B17" i="1"/>
  <c r="D16" i="1"/>
  <c r="B16" i="1"/>
  <c r="B14" i="1"/>
  <c r="B15" i="1"/>
  <c r="C15" i="1"/>
  <c r="N15" i="1"/>
  <c r="N14" i="1"/>
  <c r="C14" i="1"/>
  <c r="D14" i="1"/>
  <c r="B13" i="1"/>
  <c r="I13" i="3" l="1"/>
  <c r="D8" i="3"/>
  <c r="C11" i="3"/>
  <c r="C6" i="3"/>
  <c r="I18" i="3"/>
  <c r="M9" i="3"/>
  <c r="D10" i="3"/>
  <c r="D11" i="3"/>
  <c r="D3" i="3"/>
  <c r="D13" i="3"/>
  <c r="D4" i="3"/>
  <c r="D7" i="3"/>
  <c r="C12" i="3"/>
  <c r="E25" i="3"/>
  <c r="E28" i="3"/>
  <c r="I32" i="3"/>
  <c r="E9" i="3"/>
  <c r="I6" i="3"/>
  <c r="M29" i="3"/>
  <c r="I15" i="3"/>
  <c r="C30" i="3"/>
  <c r="I31" i="3"/>
  <c r="C32" i="3"/>
  <c r="F35" i="1"/>
  <c r="G35" i="1" s="1"/>
  <c r="E15" i="3"/>
  <c r="E24" i="3"/>
  <c r="F14" i="1"/>
  <c r="G14" i="1" s="1"/>
  <c r="C33" i="3"/>
  <c r="I35" i="3"/>
  <c r="C9" i="3"/>
  <c r="E32" i="3"/>
  <c r="C18" i="3"/>
  <c r="C28" i="3"/>
  <c r="M19" i="3"/>
  <c r="E30" i="3"/>
  <c r="I33" i="3"/>
  <c r="D22" i="3"/>
  <c r="M2" i="3"/>
  <c r="C24" i="3"/>
  <c r="C4" i="3"/>
  <c r="I16" i="3"/>
  <c r="M30" i="3"/>
  <c r="C3" i="3"/>
  <c r="I10" i="3"/>
  <c r="C5" i="3"/>
  <c r="E4" i="3"/>
  <c r="F16" i="1"/>
  <c r="G16" i="1" s="1"/>
  <c r="D33" i="3"/>
  <c r="I7" i="3"/>
  <c r="E22" i="3"/>
  <c r="I27" i="3"/>
  <c r="M35" i="3"/>
  <c r="M4" i="3"/>
  <c r="M12" i="3"/>
  <c r="D19" i="3"/>
  <c r="I28" i="3"/>
  <c r="D6" i="3"/>
  <c r="M23" i="3"/>
  <c r="I3" i="3"/>
  <c r="R20" i="1"/>
  <c r="M10" i="3"/>
  <c r="C21" i="3"/>
  <c r="E29" i="3"/>
  <c r="I9" i="3"/>
  <c r="C31" i="3"/>
  <c r="D17" i="3"/>
  <c r="E23" i="3"/>
  <c r="I14" i="3"/>
  <c r="I23" i="3"/>
  <c r="C29" i="3"/>
  <c r="G24" i="1"/>
  <c r="AB24" i="1"/>
  <c r="M17" i="3"/>
  <c r="Q21" i="1"/>
  <c r="M21" i="3"/>
  <c r="M27" i="3"/>
  <c r="E31" i="3"/>
  <c r="F34" i="1"/>
  <c r="G34" i="1" s="1"/>
  <c r="C20" i="3"/>
  <c r="E17" i="3"/>
  <c r="E20" i="3"/>
  <c r="E13" i="3"/>
  <c r="C25" i="3"/>
  <c r="I11" i="3"/>
  <c r="I20" i="3"/>
  <c r="I29" i="3"/>
  <c r="M24" i="3"/>
  <c r="D24" i="3"/>
  <c r="D35" i="3"/>
  <c r="D20" i="3"/>
  <c r="E26" i="3"/>
  <c r="I4" i="3"/>
  <c r="E33" i="3"/>
  <c r="E6" i="3"/>
  <c r="C15" i="3"/>
  <c r="M32" i="3"/>
  <c r="E16" i="3"/>
  <c r="E3" i="3"/>
  <c r="I24" i="3"/>
  <c r="D26" i="3"/>
  <c r="D27" i="3"/>
  <c r="I19" i="3"/>
  <c r="D9" i="3"/>
  <c r="E35" i="3"/>
  <c r="D31" i="3"/>
  <c r="D21" i="3"/>
  <c r="D16" i="3"/>
  <c r="M20" i="3"/>
  <c r="C23" i="3"/>
  <c r="C17" i="3"/>
  <c r="I26" i="3"/>
  <c r="M33" i="3"/>
  <c r="M3" i="3"/>
  <c r="R13" i="1"/>
  <c r="D12" i="3"/>
  <c r="C8" i="3"/>
  <c r="E7" i="3"/>
  <c r="M22" i="3"/>
  <c r="I17" i="3"/>
  <c r="I5" i="3"/>
  <c r="C22" i="3"/>
  <c r="D23" i="3"/>
  <c r="M14" i="3"/>
  <c r="E18" i="3"/>
  <c r="E12" i="3"/>
  <c r="M15" i="3"/>
  <c r="M18" i="3"/>
  <c r="M25" i="3"/>
  <c r="R29" i="1"/>
  <c r="C35" i="3"/>
  <c r="M7" i="3"/>
  <c r="E10" i="3"/>
  <c r="I12" i="3"/>
  <c r="M6" i="3"/>
  <c r="M13" i="3"/>
  <c r="D30" i="3"/>
  <c r="I21" i="3"/>
  <c r="Q26" i="1"/>
  <c r="M26" i="3"/>
  <c r="M8" i="3"/>
  <c r="D15" i="3"/>
  <c r="C26" i="3"/>
  <c r="I2" i="3"/>
  <c r="R17" i="1"/>
  <c r="F21" i="1"/>
  <c r="H21" i="1" s="1"/>
  <c r="F27" i="1"/>
  <c r="G27" i="1" s="1"/>
  <c r="E19" i="3"/>
  <c r="C13" i="3"/>
  <c r="H23" i="1"/>
  <c r="AB23" i="1"/>
  <c r="F28" i="1"/>
  <c r="H28" i="1" s="1"/>
  <c r="M31" i="3"/>
  <c r="C34" i="3"/>
  <c r="M5" i="3"/>
  <c r="E11" i="3"/>
  <c r="E14" i="3"/>
  <c r="C19" i="3"/>
  <c r="C2" i="3"/>
  <c r="I8" i="3"/>
  <c r="D29" i="3"/>
  <c r="D2" i="3"/>
  <c r="C10" i="3"/>
  <c r="D14" i="3"/>
  <c r="D28" i="3"/>
  <c r="D34" i="3"/>
  <c r="C27" i="3"/>
  <c r="E5" i="3"/>
  <c r="E27" i="3"/>
  <c r="E8" i="3"/>
  <c r="C14" i="3"/>
  <c r="D18" i="3"/>
  <c r="D25" i="3"/>
  <c r="M28" i="3"/>
  <c r="D32" i="3"/>
  <c r="M34" i="3"/>
  <c r="M11" i="3"/>
  <c r="E34" i="3"/>
  <c r="E21" i="3"/>
  <c r="E2" i="3"/>
  <c r="C7" i="3"/>
  <c r="I25" i="3"/>
  <c r="I34" i="3"/>
  <c r="I30" i="3"/>
  <c r="M16" i="3"/>
  <c r="D5" i="3"/>
  <c r="C16" i="3"/>
  <c r="R16" i="1"/>
  <c r="R15" i="1"/>
  <c r="F33" i="1"/>
  <c r="H33" i="1" s="1"/>
  <c r="R19" i="1"/>
  <c r="R35" i="1"/>
  <c r="R18" i="1"/>
  <c r="R31" i="1"/>
  <c r="R33" i="1"/>
  <c r="R26" i="1"/>
  <c r="R25" i="1"/>
  <c r="R32" i="1"/>
  <c r="R28" i="1"/>
  <c r="R27" i="1"/>
  <c r="R34" i="1"/>
  <c r="R30" i="1"/>
  <c r="R21" i="1"/>
  <c r="R14" i="1"/>
  <c r="Q33" i="1"/>
  <c r="Q31" i="1"/>
  <c r="Q15" i="1"/>
  <c r="Q25" i="1"/>
  <c r="G21" i="1"/>
  <c r="H27" i="1"/>
  <c r="H14" i="1"/>
  <c r="Q23" i="1"/>
  <c r="Q19" i="1"/>
  <c r="Q18" i="1"/>
  <c r="Q34" i="1"/>
  <c r="Q12" i="1"/>
  <c r="Q17" i="1"/>
  <c r="Q30" i="1"/>
  <c r="Q20" i="1"/>
  <c r="Q28" i="1"/>
  <c r="Q14" i="1"/>
  <c r="Q16" i="1"/>
  <c r="Q29" i="1"/>
  <c r="Q35" i="1"/>
  <c r="Q27" i="1"/>
  <c r="Q22" i="1"/>
  <c r="Q32" i="1"/>
  <c r="F17" i="1"/>
  <c r="F19" i="1"/>
  <c r="F29" i="1"/>
  <c r="F26" i="1"/>
  <c r="F22" i="1"/>
  <c r="F30" i="1"/>
  <c r="F20" i="1"/>
  <c r="G23" i="1"/>
  <c r="F15" i="1"/>
  <c r="F32" i="1"/>
  <c r="F13" i="1"/>
  <c r="F18" i="1"/>
  <c r="F12" i="1"/>
  <c r="F25" i="1"/>
  <c r="F31" i="1"/>
  <c r="G28" i="1" l="1"/>
  <c r="H16" i="1"/>
  <c r="H35" i="1"/>
  <c r="H12" i="1"/>
  <c r="AB12" i="1"/>
  <c r="H18" i="1"/>
  <c r="AB18" i="1"/>
  <c r="H31" i="1"/>
  <c r="AB31" i="1"/>
  <c r="AB34" i="1"/>
  <c r="AB16" i="1"/>
  <c r="H29" i="1"/>
  <c r="AB29" i="1"/>
  <c r="H25" i="1"/>
  <c r="AB25" i="1"/>
  <c r="H32" i="1"/>
  <c r="AB28" i="1"/>
  <c r="AB13" i="1"/>
  <c r="H17" i="1"/>
  <c r="AB17" i="1"/>
  <c r="AB35" i="1"/>
  <c r="H15" i="1"/>
  <c r="AB15" i="1"/>
  <c r="H20" i="1"/>
  <c r="AB20" i="1"/>
  <c r="AB32" i="1"/>
  <c r="H22" i="1"/>
  <c r="AB22" i="1"/>
  <c r="H19" i="1"/>
  <c r="AB19" i="1"/>
  <c r="AB27" i="1"/>
  <c r="H30" i="1"/>
  <c r="AB30" i="1"/>
  <c r="AB21" i="1"/>
  <c r="H26" i="1"/>
  <c r="AB26" i="1"/>
  <c r="H34" i="1"/>
  <c r="G33" i="1"/>
  <c r="AB33" i="1"/>
  <c r="AB14" i="1"/>
  <c r="G25" i="1"/>
  <c r="G13" i="1"/>
  <c r="H13" i="1"/>
  <c r="G15" i="1"/>
  <c r="G29" i="1"/>
  <c r="G30" i="1"/>
  <c r="G17" i="1"/>
  <c r="G26" i="1"/>
  <c r="G32" i="1"/>
  <c r="G22" i="1"/>
  <c r="G31" i="1"/>
  <c r="G12" i="1"/>
  <c r="G19" i="1"/>
  <c r="G20" i="1"/>
  <c r="G18" i="1"/>
  <c r="B6" i="1"/>
  <c r="B5" i="1"/>
  <c r="B4" i="1"/>
  <c r="B3" i="1"/>
  <c r="B2" i="1"/>
  <c r="T2" i="1"/>
  <c r="T5" i="1"/>
  <c r="T4" i="1"/>
  <c r="G35" i="3" l="1"/>
  <c r="G26" i="3"/>
  <c r="G22" i="3"/>
  <c r="G32" i="3"/>
  <c r="G28" i="3"/>
  <c r="B7" i="3"/>
  <c r="B8" i="3"/>
  <c r="B9" i="3"/>
  <c r="B10" i="3"/>
  <c r="B11" i="3"/>
  <c r="B12" i="3"/>
  <c r="B2" i="3"/>
  <c r="B24" i="3"/>
  <c r="B23" i="3"/>
  <c r="B22" i="3"/>
  <c r="B30" i="3"/>
  <c r="B34" i="3"/>
  <c r="B14" i="3"/>
  <c r="B29" i="3"/>
  <c r="B18" i="3"/>
  <c r="B26" i="3"/>
  <c r="B17" i="3"/>
  <c r="B32" i="3"/>
  <c r="B21" i="3"/>
  <c r="B27" i="3"/>
  <c r="B33" i="3"/>
  <c r="B35" i="3"/>
  <c r="B31" i="3"/>
  <c r="B20" i="3"/>
  <c r="B15" i="3"/>
  <c r="B16" i="3"/>
  <c r="B19" i="3"/>
  <c r="B13" i="3"/>
  <c r="B28" i="3"/>
  <c r="B25" i="3"/>
  <c r="G16" i="3"/>
  <c r="G14" i="3"/>
  <c r="G17" i="3"/>
  <c r="R3" i="1"/>
  <c r="B3" i="3"/>
  <c r="G21" i="3"/>
  <c r="R4" i="1"/>
  <c r="B4" i="3"/>
  <c r="G30" i="3"/>
  <c r="G33" i="3"/>
  <c r="R5" i="1"/>
  <c r="B5" i="3"/>
  <c r="G29" i="3"/>
  <c r="R6" i="1"/>
  <c r="B6" i="3"/>
  <c r="G15" i="3"/>
  <c r="G27" i="3"/>
  <c r="G18" i="3"/>
  <c r="G23" i="3"/>
  <c r="G34" i="3"/>
  <c r="G20" i="3"/>
  <c r="G13" i="3"/>
  <c r="G19" i="3"/>
  <c r="G25" i="3"/>
  <c r="G9" i="3"/>
  <c r="G7" i="3"/>
  <c r="G10" i="3"/>
  <c r="G11" i="3"/>
  <c r="G12" i="3"/>
  <c r="G2" i="3"/>
  <c r="G3" i="3"/>
  <c r="G4" i="3"/>
  <c r="G5" i="3"/>
  <c r="G6" i="3"/>
  <c r="G8" i="3"/>
  <c r="G31" i="3"/>
  <c r="G24" i="3"/>
  <c r="R2" i="1"/>
  <c r="F7" i="1"/>
  <c r="F8" i="1"/>
  <c r="F9" i="1"/>
  <c r="F6" i="1"/>
  <c r="F10" i="1"/>
  <c r="F11" i="1"/>
  <c r="F3" i="1"/>
  <c r="F4" i="1"/>
  <c r="F5" i="1"/>
  <c r="F2" i="1"/>
  <c r="H3" i="1" l="1"/>
  <c r="F3" i="3"/>
  <c r="AB3" i="1"/>
  <c r="H4" i="1"/>
  <c r="F4" i="3"/>
  <c r="AB4" i="1"/>
  <c r="H11" i="1"/>
  <c r="F11" i="3"/>
  <c r="AB11" i="1"/>
  <c r="H9" i="1"/>
  <c r="AB9" i="1"/>
  <c r="F9" i="3"/>
  <c r="H8" i="1"/>
  <c r="AB8" i="1"/>
  <c r="F8" i="3"/>
  <c r="H10" i="1"/>
  <c r="AB10" i="1"/>
  <c r="F10" i="3"/>
  <c r="H7" i="1"/>
  <c r="AB7" i="1"/>
  <c r="F7" i="3"/>
  <c r="H6" i="1"/>
  <c r="AB6" i="1"/>
  <c r="F6" i="3"/>
  <c r="H2" i="1"/>
  <c r="F2" i="3"/>
  <c r="AB2" i="1"/>
  <c r="F23" i="3"/>
  <c r="F24" i="3"/>
  <c r="F28" i="3"/>
  <c r="F35" i="3"/>
  <c r="F20" i="3"/>
  <c r="F27" i="3"/>
  <c r="F21" i="3"/>
  <c r="F12" i="3"/>
  <c r="F29" i="3"/>
  <c r="F13" i="3"/>
  <c r="F26" i="3"/>
  <c r="F31" i="3"/>
  <c r="F22" i="3"/>
  <c r="F15" i="3"/>
  <c r="F34" i="3"/>
  <c r="F25" i="3"/>
  <c r="F30" i="3"/>
  <c r="F32" i="3"/>
  <c r="F17" i="3"/>
  <c r="F16" i="3"/>
  <c r="F33" i="3"/>
  <c r="F14" i="3"/>
  <c r="F19" i="3"/>
  <c r="F18" i="3"/>
  <c r="H5" i="1"/>
  <c r="AB5" i="1"/>
  <c r="F5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Conall DE PAOR</author>
  </authors>
  <commentList>
    <comment ref="O1" authorId="0" shapeId="0" xr:uid="{8A9123FB-E3D6-4A34-A108-3BA4AC23ABC7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other plus the "non-cargo" part
</t>
        </r>
      </text>
    </comment>
    <comment ref="D8" authorId="0" shapeId="0" xr:uid="{68F0C63D-DF5B-4F7C-A433-F6BC069B1825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adjustment to correct probable error in the source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Conall DE PAOR</author>
  </authors>
  <commentList>
    <comment ref="O1" authorId="0" shapeId="0" xr:uid="{6A413088-DDC6-4387-9EA4-E93AEF394AF8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other plus the "non-cargo" part
</t>
        </r>
      </text>
    </comment>
    <comment ref="D7" authorId="0" shapeId="0" xr:uid="{4121BEB6-7D11-4180-BA69-75DA74774FAF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adjustment to correct probable error in the source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Conall DE PAOR</author>
  </authors>
  <commentList>
    <comment ref="N1" authorId="0" shapeId="0" xr:uid="{D3D5DECB-007B-4BB4-B4D3-15A05D0FC6CB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other plus the "non-cargo" part
</t>
        </r>
      </text>
    </comment>
    <comment ref="D8" authorId="0" shapeId="0" xr:uid="{9B836793-BE28-4C93-989D-E978F0BDAFA5}">
      <text>
        <r>
          <rPr>
            <b/>
            <sz val="9"/>
            <color indexed="81"/>
            <rFont val="Tahoma"/>
            <family val="2"/>
          </rPr>
          <t>Conall DE PAOR:</t>
        </r>
        <r>
          <rPr>
            <sz val="9"/>
            <color indexed="81"/>
            <rFont val="Tahoma"/>
            <family val="2"/>
          </rPr>
          <t xml:space="preserve">
adjustment to correct probable error in the source</t>
        </r>
      </text>
    </comment>
  </commentList>
</comments>
</file>

<file path=xl/sharedStrings.xml><?xml version="1.0" encoding="utf-8"?>
<sst xmlns="http://schemas.openxmlformats.org/spreadsheetml/2006/main" count="275" uniqueCount="71">
  <si>
    <t>md</t>
  </si>
  <si>
    <t>mp</t>
  </si>
  <si>
    <t>mprop</t>
  </si>
  <si>
    <t>dV</t>
  </si>
  <si>
    <t>Isp</t>
  </si>
  <si>
    <t>Structure</t>
  </si>
  <si>
    <t>Propulsion</t>
  </si>
  <si>
    <t>Power</t>
  </si>
  <si>
    <t>Avionics</t>
  </si>
  <si>
    <t>Thermal Protection</t>
  </si>
  <si>
    <t>Other</t>
  </si>
  <si>
    <t>growth</t>
  </si>
  <si>
    <t>Apollo J-series</t>
  </si>
  <si>
    <t>9508-HLR-1</t>
  </si>
  <si>
    <t>8801-EE-1 LOX-LH2</t>
  </si>
  <si>
    <t>8801-EE-1 N2O4/MMH</t>
  </si>
  <si>
    <t>0503-CE&amp;R-8</t>
  </si>
  <si>
    <t>0507-ESAS-D</t>
  </si>
  <si>
    <t>0507-ESAS-F</t>
  </si>
  <si>
    <t>0507-ESAS-H</t>
  </si>
  <si>
    <t>0507-ESAS-J</t>
  </si>
  <si>
    <t>Lander</t>
  </si>
  <si>
    <t>9205-FLO-1-CLS</t>
  </si>
  <si>
    <t>kW</t>
  </si>
  <si>
    <t>kWh</t>
  </si>
  <si>
    <t>mt</t>
  </si>
  <si>
    <t>notes</t>
  </si>
  <si>
    <t>0503-CE&amp;R-3</t>
  </si>
  <si>
    <t>heat rejection</t>
  </si>
  <si>
    <t>0507-ESAS-A</t>
  </si>
  <si>
    <t>0507-ESAS-B</t>
  </si>
  <si>
    <t>minert</t>
  </si>
  <si>
    <t>descent stage also performs LOI</t>
  </si>
  <si>
    <t>0605-LLPS-LaRC-1A</t>
  </si>
  <si>
    <t>0605-LLPS-LaRC-1B</t>
  </si>
  <si>
    <t>0605-LLPS-LaRC-1C</t>
  </si>
  <si>
    <t>0605-LLPS-LaRC-1D</t>
  </si>
  <si>
    <t>0605-LLPS-LaRC-1E</t>
  </si>
  <si>
    <t>0605-LLPS-LaRC-1F</t>
  </si>
  <si>
    <t>descent stage also performs LOI, probable Isp for the LOX methan</t>
  </si>
  <si>
    <t>0605-LLPS-LaRC-1G</t>
  </si>
  <si>
    <t>0605-LLPS-LaRC-1H</t>
  </si>
  <si>
    <t>lander performs LOI</t>
  </si>
  <si>
    <t>0605-LLPS-LaRC-2</t>
  </si>
  <si>
    <t>0605-LLPS-GFSC-1</t>
  </si>
  <si>
    <t>0605-LLPS-GSFC-3</t>
  </si>
  <si>
    <t>0605-LLPS-1GSFC-4</t>
  </si>
  <si>
    <t>skycrane</t>
  </si>
  <si>
    <t>0605-LLPS-JSC-6</t>
  </si>
  <si>
    <t>0605-LLPS-MSFC-1</t>
  </si>
  <si>
    <t>0605-LLPS-MSFC-2</t>
  </si>
  <si>
    <t>0605-LLPS-MSFC-3</t>
  </si>
  <si>
    <t>0605-LLPS-MSFC-4</t>
  </si>
  <si>
    <t>0605-LLPS-MSFC-6</t>
  </si>
  <si>
    <t>0609-LLPS-JSC-sortie</t>
  </si>
  <si>
    <t>dv_check</t>
  </si>
  <si>
    <t>0610-LAT-3</t>
  </si>
  <si>
    <t>0605-LLPS-LaRC-1i</t>
  </si>
  <si>
    <t>Mission Duration</t>
  </si>
  <si>
    <t>Power system type</t>
  </si>
  <si>
    <t>fuel cells</t>
  </si>
  <si>
    <t>batteries</t>
  </si>
  <si>
    <t>-</t>
  </si>
  <si>
    <t>solar arrays, batteries</t>
  </si>
  <si>
    <t>batteries, fuel cells</t>
  </si>
  <si>
    <t>md_check_1</t>
  </si>
  <si>
    <t>md_check_2</t>
  </si>
  <si>
    <t>features</t>
  </si>
  <si>
    <t>targets</t>
  </si>
  <si>
    <t>feature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</si>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</sst>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5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7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5" xfId="0" applyBorder="1" applyAlignment="1">
      <alignment horizontal="center"/>
    </xf>
    <xf numFmtId="1" fontId="0" fillId="2" borderId="0" xfId="0" applyNumberFormat="1" applyFill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5" xfId="0" applyNumberFormat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/>
    <xf numFmtId="0" fontId="0" fillId="3" borderId="5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5" xfId="0" applyBorder="1" applyAlignment="1">
      <alignment horizontal="left"/>
    </xf>
    <xf numFmtId="0" fontId="0" fillId="0" borderId="0" xfId="0" quotePrefix="1" applyAlignment="1">
      <alignment horizontal="center"/>
    </xf>
    <xf numFmtId="0" fontId="0" fillId="0" borderId="5" xfId="0" quotePrefix="1" applyBorder="1" applyAlignment="1">
      <alignment horizontal="center"/>
    </xf>
    <xf numFmtId="0" fontId="0" fillId="4" borderId="0" xfId="0" applyFill="1" applyAlignment="1">
      <alignment horizontal="center"/>
    </xf>
    <xf numFmtId="0" fontId="0" fillId="5" borderId="3" xfId="0" applyFill="1" applyBorder="1" applyAlignment="1">
      <alignment horizontal="center"/>
    </xf>
    <xf numFmtId="0" fontId="0" fillId="6" borderId="0" xfId="0" applyFill="1"/>
    <xf numFmtId="0" fontId="0" fillId="7" borderId="2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0" xfId="0" applyFill="1"/>
    <xf numFmtId="0" fontId="0" fillId="8" borderId="3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STR(minert)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00947767826398"/>
          <c:y val="0.18039323613826527"/>
          <c:w val="0.8397080831368382"/>
          <c:h val="0.72203015828007644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0.18816636747866508"/>
                  <c:y val="-0.4324853501451864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'Raw Data'!$C$2:$C$35</c:f>
              <c:numCache>
                <c:formatCode>General</c:formatCode>
                <c:ptCount val="34"/>
                <c:pt idx="0">
                  <c:v>2373</c:v>
                </c:pt>
                <c:pt idx="1">
                  <c:v>1171.9000000000001</c:v>
                </c:pt>
                <c:pt idx="2">
                  <c:v>9823</c:v>
                </c:pt>
                <c:pt idx="3">
                  <c:v>7899</c:v>
                </c:pt>
                <c:pt idx="4">
                  <c:v>12992</c:v>
                </c:pt>
                <c:pt idx="5">
                  <c:v>5858</c:v>
                </c:pt>
                <c:pt idx="6">
                  <c:v>11508</c:v>
                </c:pt>
                <c:pt idx="7">
                  <c:v>11334</c:v>
                </c:pt>
                <c:pt idx="8">
                  <c:v>9167</c:v>
                </c:pt>
                <c:pt idx="9">
                  <c:v>9077</c:v>
                </c:pt>
                <c:pt idx="10">
                  <c:v>8775</c:v>
                </c:pt>
                <c:pt idx="11">
                  <c:v>6692</c:v>
                </c:pt>
                <c:pt idx="12">
                  <c:v>7655</c:v>
                </c:pt>
                <c:pt idx="13">
                  <c:v>9874</c:v>
                </c:pt>
                <c:pt idx="14">
                  <c:v>5472</c:v>
                </c:pt>
                <c:pt idx="15">
                  <c:v>7684</c:v>
                </c:pt>
                <c:pt idx="16">
                  <c:v>3106</c:v>
                </c:pt>
                <c:pt idx="17">
                  <c:v>4532</c:v>
                </c:pt>
                <c:pt idx="18">
                  <c:v>3106</c:v>
                </c:pt>
                <c:pt idx="19">
                  <c:v>4532</c:v>
                </c:pt>
                <c:pt idx="20">
                  <c:v>3106</c:v>
                </c:pt>
                <c:pt idx="21">
                  <c:v>5492</c:v>
                </c:pt>
                <c:pt idx="22">
                  <c:v>5492</c:v>
                </c:pt>
                <c:pt idx="23">
                  <c:v>6630</c:v>
                </c:pt>
                <c:pt idx="24">
                  <c:v>10447</c:v>
                </c:pt>
                <c:pt idx="25">
                  <c:v>10615</c:v>
                </c:pt>
                <c:pt idx="26">
                  <c:v>10337</c:v>
                </c:pt>
                <c:pt idx="27">
                  <c:v>8272</c:v>
                </c:pt>
                <c:pt idx="28">
                  <c:v>15331</c:v>
                </c:pt>
                <c:pt idx="29">
                  <c:v>15119</c:v>
                </c:pt>
                <c:pt idx="30">
                  <c:v>16020</c:v>
                </c:pt>
                <c:pt idx="31">
                  <c:v>11020</c:v>
                </c:pt>
                <c:pt idx="32">
                  <c:v>10426</c:v>
                </c:pt>
                <c:pt idx="33">
                  <c:v>11486</c:v>
                </c:pt>
              </c:numCache>
            </c:numRef>
          </c:xVal>
          <c:yVal>
            <c:numRef>
              <c:f>'Raw Data'!$J$2:$J$35</c:f>
              <c:numCache>
                <c:formatCode>General</c:formatCode>
                <c:ptCount val="34"/>
                <c:pt idx="0">
                  <c:v>460</c:v>
                </c:pt>
                <c:pt idx="1">
                  <c:v>504.1</c:v>
                </c:pt>
                <c:pt idx="2">
                  <c:v>1681</c:v>
                </c:pt>
                <c:pt idx="3">
                  <c:v>1955</c:v>
                </c:pt>
                <c:pt idx="4">
                  <c:v>1770</c:v>
                </c:pt>
                <c:pt idx="5">
                  <c:v>2822</c:v>
                </c:pt>
                <c:pt idx="6">
                  <c:v>2015</c:v>
                </c:pt>
                <c:pt idx="7">
                  <c:v>1985</c:v>
                </c:pt>
                <c:pt idx="8">
                  <c:v>1877</c:v>
                </c:pt>
                <c:pt idx="9">
                  <c:v>1860</c:v>
                </c:pt>
                <c:pt idx="10">
                  <c:v>535</c:v>
                </c:pt>
                <c:pt idx="11">
                  <c:v>3757</c:v>
                </c:pt>
                <c:pt idx="12">
                  <c:v>1113</c:v>
                </c:pt>
                <c:pt idx="13">
                  <c:v>2432</c:v>
                </c:pt>
                <c:pt idx="14">
                  <c:v>1011</c:v>
                </c:pt>
                <c:pt idx="15">
                  <c:v>1355</c:v>
                </c:pt>
                <c:pt idx="16">
                  <c:v>451</c:v>
                </c:pt>
                <c:pt idx="17">
                  <c:v>717</c:v>
                </c:pt>
                <c:pt idx="18">
                  <c:v>451</c:v>
                </c:pt>
                <c:pt idx="19">
                  <c:v>717</c:v>
                </c:pt>
                <c:pt idx="20">
                  <c:v>451</c:v>
                </c:pt>
                <c:pt idx="21">
                  <c:v>1017</c:v>
                </c:pt>
                <c:pt idx="22">
                  <c:v>1017</c:v>
                </c:pt>
                <c:pt idx="23">
                  <c:v>1150</c:v>
                </c:pt>
                <c:pt idx="24">
                  <c:v>1932</c:v>
                </c:pt>
                <c:pt idx="25">
                  <c:v>2203</c:v>
                </c:pt>
                <c:pt idx="26">
                  <c:v>2289</c:v>
                </c:pt>
                <c:pt idx="27">
                  <c:v>1113</c:v>
                </c:pt>
                <c:pt idx="28">
                  <c:v>4545</c:v>
                </c:pt>
                <c:pt idx="29">
                  <c:v>4430</c:v>
                </c:pt>
                <c:pt idx="30">
                  <c:v>6565</c:v>
                </c:pt>
                <c:pt idx="31">
                  <c:v>1856</c:v>
                </c:pt>
                <c:pt idx="32">
                  <c:v>1638</c:v>
                </c:pt>
                <c:pt idx="33">
                  <c:v>4939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60-41EE-98CA-EC8048E85E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3453680"/>
        <c:axId val="1883455120"/>
      </c:scatterChart>
      <c:valAx>
        <c:axId val="1883453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83455120"/>
        <c:crosses val="autoZero"/>
        <c:crossBetween val="midCat"/>
      </c:valAx>
      <c:valAx>
        <c:axId val="188345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83453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STR(md)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564801848748497"/>
          <c:y val="0.17585410895660208"/>
          <c:w val="0.8397080831368382"/>
          <c:h val="0.72203015828007644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0.14920642208353693"/>
                  <c:y val="-0.4215540244969379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'Raw Data'!$C$2:$C$35</c:f>
              <c:numCache>
                <c:formatCode>General</c:formatCode>
                <c:ptCount val="34"/>
                <c:pt idx="0">
                  <c:v>2373</c:v>
                </c:pt>
                <c:pt idx="1">
                  <c:v>1171.9000000000001</c:v>
                </c:pt>
                <c:pt idx="2">
                  <c:v>9823</c:v>
                </c:pt>
                <c:pt idx="3">
                  <c:v>7899</c:v>
                </c:pt>
                <c:pt idx="4">
                  <c:v>12992</c:v>
                </c:pt>
                <c:pt idx="5">
                  <c:v>5858</c:v>
                </c:pt>
                <c:pt idx="6">
                  <c:v>11508</c:v>
                </c:pt>
                <c:pt idx="7">
                  <c:v>11334</c:v>
                </c:pt>
                <c:pt idx="8">
                  <c:v>9167</c:v>
                </c:pt>
                <c:pt idx="9">
                  <c:v>9077</c:v>
                </c:pt>
                <c:pt idx="10">
                  <c:v>8775</c:v>
                </c:pt>
                <c:pt idx="11">
                  <c:v>6692</c:v>
                </c:pt>
                <c:pt idx="12">
                  <c:v>7655</c:v>
                </c:pt>
                <c:pt idx="13">
                  <c:v>9874</c:v>
                </c:pt>
                <c:pt idx="14">
                  <c:v>5472</c:v>
                </c:pt>
                <c:pt idx="15">
                  <c:v>7684</c:v>
                </c:pt>
                <c:pt idx="16">
                  <c:v>3106</c:v>
                </c:pt>
                <c:pt idx="17">
                  <c:v>4532</c:v>
                </c:pt>
                <c:pt idx="18">
                  <c:v>3106</c:v>
                </c:pt>
                <c:pt idx="19">
                  <c:v>4532</c:v>
                </c:pt>
                <c:pt idx="20">
                  <c:v>3106</c:v>
                </c:pt>
                <c:pt idx="21">
                  <c:v>5492</c:v>
                </c:pt>
                <c:pt idx="22">
                  <c:v>5492</c:v>
                </c:pt>
                <c:pt idx="23">
                  <c:v>6630</c:v>
                </c:pt>
                <c:pt idx="24">
                  <c:v>10447</c:v>
                </c:pt>
                <c:pt idx="25">
                  <c:v>10615</c:v>
                </c:pt>
                <c:pt idx="26">
                  <c:v>10337</c:v>
                </c:pt>
                <c:pt idx="27">
                  <c:v>8272</c:v>
                </c:pt>
                <c:pt idx="28">
                  <c:v>15331</c:v>
                </c:pt>
                <c:pt idx="29">
                  <c:v>15119</c:v>
                </c:pt>
                <c:pt idx="30">
                  <c:v>16020</c:v>
                </c:pt>
                <c:pt idx="31">
                  <c:v>11020</c:v>
                </c:pt>
                <c:pt idx="32">
                  <c:v>10426</c:v>
                </c:pt>
                <c:pt idx="33">
                  <c:v>11486</c:v>
                </c:pt>
              </c:numCache>
            </c:numRef>
          </c:xVal>
          <c:yVal>
            <c:numRef>
              <c:f>'Raw Data'!$J$2:$J$35</c:f>
              <c:numCache>
                <c:formatCode>General</c:formatCode>
                <c:ptCount val="34"/>
                <c:pt idx="0">
                  <c:v>460</c:v>
                </c:pt>
                <c:pt idx="1">
                  <c:v>504.1</c:v>
                </c:pt>
                <c:pt idx="2">
                  <c:v>1681</c:v>
                </c:pt>
                <c:pt idx="3">
                  <c:v>1955</c:v>
                </c:pt>
                <c:pt idx="4">
                  <c:v>1770</c:v>
                </c:pt>
                <c:pt idx="5">
                  <c:v>2822</c:v>
                </c:pt>
                <c:pt idx="6">
                  <c:v>2015</c:v>
                </c:pt>
                <c:pt idx="7">
                  <c:v>1985</c:v>
                </c:pt>
                <c:pt idx="8">
                  <c:v>1877</c:v>
                </c:pt>
                <c:pt idx="9">
                  <c:v>1860</c:v>
                </c:pt>
                <c:pt idx="10">
                  <c:v>535</c:v>
                </c:pt>
                <c:pt idx="11">
                  <c:v>3757</c:v>
                </c:pt>
                <c:pt idx="12">
                  <c:v>1113</c:v>
                </c:pt>
                <c:pt idx="13">
                  <c:v>2432</c:v>
                </c:pt>
                <c:pt idx="14">
                  <c:v>1011</c:v>
                </c:pt>
                <c:pt idx="15">
                  <c:v>1355</c:v>
                </c:pt>
                <c:pt idx="16">
                  <c:v>451</c:v>
                </c:pt>
                <c:pt idx="17">
                  <c:v>717</c:v>
                </c:pt>
                <c:pt idx="18">
                  <c:v>451</c:v>
                </c:pt>
                <c:pt idx="19">
                  <c:v>717</c:v>
                </c:pt>
                <c:pt idx="20">
                  <c:v>451</c:v>
                </c:pt>
                <c:pt idx="21">
                  <c:v>1017</c:v>
                </c:pt>
                <c:pt idx="22">
                  <c:v>1017</c:v>
                </c:pt>
                <c:pt idx="23">
                  <c:v>1150</c:v>
                </c:pt>
                <c:pt idx="24">
                  <c:v>1932</c:v>
                </c:pt>
                <c:pt idx="25">
                  <c:v>2203</c:v>
                </c:pt>
                <c:pt idx="26">
                  <c:v>2289</c:v>
                </c:pt>
                <c:pt idx="27">
                  <c:v>1113</c:v>
                </c:pt>
                <c:pt idx="28">
                  <c:v>4545</c:v>
                </c:pt>
                <c:pt idx="29">
                  <c:v>4430</c:v>
                </c:pt>
                <c:pt idx="30">
                  <c:v>6565</c:v>
                </c:pt>
                <c:pt idx="31">
                  <c:v>1856</c:v>
                </c:pt>
                <c:pt idx="32">
                  <c:v>1638</c:v>
                </c:pt>
                <c:pt idx="33">
                  <c:v>4939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581-4DE5-8FD8-7688BA427E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3453680"/>
        <c:axId val="1883455120"/>
      </c:scatterChart>
      <c:valAx>
        <c:axId val="1883453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83455120"/>
        <c:crosses val="autoZero"/>
        <c:crossBetween val="midCat"/>
      </c:valAx>
      <c:valAx>
        <c:axId val="188345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83453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AVIO(minert)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1800838504020904E-2"/>
          <c:y val="0.16673607017700048"/>
          <c:w val="0.8397080831368382"/>
          <c:h val="0.72203015828007644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0.16586614719807255"/>
                  <c:y val="-0.5215283287643248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'Raw Data'!$F$2:$F$35</c:f>
              <c:numCache>
                <c:formatCode>General</c:formatCode>
                <c:ptCount val="34"/>
                <c:pt idx="0">
                  <c:v>7667</c:v>
                </c:pt>
                <c:pt idx="1">
                  <c:v>1674</c:v>
                </c:pt>
                <c:pt idx="2">
                  <c:v>34823</c:v>
                </c:pt>
                <c:pt idx="3">
                  <c:v>32899</c:v>
                </c:pt>
                <c:pt idx="4">
                  <c:v>48886</c:v>
                </c:pt>
                <c:pt idx="5">
                  <c:v>22319</c:v>
                </c:pt>
                <c:pt idx="6">
                  <c:v>35449</c:v>
                </c:pt>
                <c:pt idx="7">
                  <c:v>33156</c:v>
                </c:pt>
                <c:pt idx="8">
                  <c:v>26655</c:v>
                </c:pt>
                <c:pt idx="9">
                  <c:v>25491</c:v>
                </c:pt>
                <c:pt idx="10">
                  <c:v>29637</c:v>
                </c:pt>
                <c:pt idx="11">
                  <c:v>25017</c:v>
                </c:pt>
                <c:pt idx="12">
                  <c:v>20757</c:v>
                </c:pt>
                <c:pt idx="13">
                  <c:v>52142</c:v>
                </c:pt>
                <c:pt idx="14">
                  <c:v>14817</c:v>
                </c:pt>
                <c:pt idx="15">
                  <c:v>17086</c:v>
                </c:pt>
                <c:pt idx="16">
                  <c:v>12433</c:v>
                </c:pt>
                <c:pt idx="17">
                  <c:v>13789</c:v>
                </c:pt>
                <c:pt idx="18">
                  <c:v>12706</c:v>
                </c:pt>
                <c:pt idx="19">
                  <c:v>13845</c:v>
                </c:pt>
                <c:pt idx="20">
                  <c:v>12706</c:v>
                </c:pt>
                <c:pt idx="21">
                  <c:v>19943</c:v>
                </c:pt>
                <c:pt idx="22">
                  <c:v>19726</c:v>
                </c:pt>
                <c:pt idx="23">
                  <c:v>12680</c:v>
                </c:pt>
                <c:pt idx="24">
                  <c:v>20294</c:v>
                </c:pt>
                <c:pt idx="25">
                  <c:v>20295</c:v>
                </c:pt>
                <c:pt idx="26">
                  <c:v>20293</c:v>
                </c:pt>
                <c:pt idx="27">
                  <c:v>27272</c:v>
                </c:pt>
                <c:pt idx="28">
                  <c:v>21929</c:v>
                </c:pt>
                <c:pt idx="29">
                  <c:v>21929</c:v>
                </c:pt>
                <c:pt idx="30">
                  <c:v>21962</c:v>
                </c:pt>
                <c:pt idx="31">
                  <c:v>21928</c:v>
                </c:pt>
                <c:pt idx="32">
                  <c:v>21929</c:v>
                </c:pt>
                <c:pt idx="33">
                  <c:v>18171</c:v>
                </c:pt>
              </c:numCache>
            </c:numRef>
          </c:xVal>
          <c:yVal>
            <c:numRef>
              <c:f>'Raw Data'!$M$2:$M$35</c:f>
              <c:numCache>
                <c:formatCode>General</c:formatCode>
                <c:ptCount val="34"/>
                <c:pt idx="0">
                  <c:v>29</c:v>
                </c:pt>
                <c:pt idx="1">
                  <c:v>120.1</c:v>
                </c:pt>
                <c:pt idx="2">
                  <c:v>934</c:v>
                </c:pt>
                <c:pt idx="3">
                  <c:v>1062</c:v>
                </c:pt>
                <c:pt idx="4">
                  <c:v>307</c:v>
                </c:pt>
                <c:pt idx="5">
                  <c:v>817</c:v>
                </c:pt>
                <c:pt idx="6">
                  <c:v>594</c:v>
                </c:pt>
                <c:pt idx="7">
                  <c:v>594</c:v>
                </c:pt>
                <c:pt idx="8">
                  <c:v>594</c:v>
                </c:pt>
                <c:pt idx="9">
                  <c:v>594</c:v>
                </c:pt>
                <c:pt idx="10">
                  <c:v>731</c:v>
                </c:pt>
                <c:pt idx="11">
                  <c:v>199</c:v>
                </c:pt>
                <c:pt idx="12">
                  <c:v>69</c:v>
                </c:pt>
                <c:pt idx="13">
                  <c:v>145</c:v>
                </c:pt>
                <c:pt idx="14">
                  <c:v>69</c:v>
                </c:pt>
                <c:pt idx="15">
                  <c:v>69</c:v>
                </c:pt>
                <c:pt idx="16">
                  <c:v>69</c:v>
                </c:pt>
                <c:pt idx="17">
                  <c:v>69</c:v>
                </c:pt>
                <c:pt idx="18">
                  <c:v>69</c:v>
                </c:pt>
                <c:pt idx="19">
                  <c:v>69</c:v>
                </c:pt>
                <c:pt idx="20">
                  <c:v>69</c:v>
                </c:pt>
                <c:pt idx="21">
                  <c:v>69</c:v>
                </c:pt>
                <c:pt idx="22">
                  <c:v>69</c:v>
                </c:pt>
                <c:pt idx="23">
                  <c:v>80</c:v>
                </c:pt>
                <c:pt idx="24">
                  <c:v>306</c:v>
                </c:pt>
                <c:pt idx="25">
                  <c:v>306</c:v>
                </c:pt>
                <c:pt idx="26">
                  <c:v>354</c:v>
                </c:pt>
                <c:pt idx="27">
                  <c:v>69</c:v>
                </c:pt>
                <c:pt idx="28">
                  <c:v>441</c:v>
                </c:pt>
                <c:pt idx="29">
                  <c:v>441</c:v>
                </c:pt>
                <c:pt idx="30">
                  <c:v>441</c:v>
                </c:pt>
                <c:pt idx="31">
                  <c:v>441</c:v>
                </c:pt>
                <c:pt idx="32">
                  <c:v>441</c:v>
                </c:pt>
                <c:pt idx="33">
                  <c:v>263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9B0-47EC-ABF6-2D351079E7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3453680"/>
        <c:axId val="1883455120"/>
      </c:scatterChart>
      <c:valAx>
        <c:axId val="1883453680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83455120"/>
        <c:crosses val="autoZero"/>
        <c:crossBetween val="midCat"/>
      </c:valAx>
      <c:valAx>
        <c:axId val="188345512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83453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POW(md)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564801848748497"/>
          <c:y val="0.17585410895660208"/>
          <c:w val="0.8397080831368382"/>
          <c:h val="0.72203015828007644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0.20487114651433963"/>
                  <c:y val="-0.4521939962223667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'Raw Data'!$C$2:$C$35</c:f>
              <c:numCache>
                <c:formatCode>General</c:formatCode>
                <c:ptCount val="34"/>
                <c:pt idx="0">
                  <c:v>2373</c:v>
                </c:pt>
                <c:pt idx="1">
                  <c:v>1171.9000000000001</c:v>
                </c:pt>
                <c:pt idx="2">
                  <c:v>9823</c:v>
                </c:pt>
                <c:pt idx="3">
                  <c:v>7899</c:v>
                </c:pt>
                <c:pt idx="4">
                  <c:v>12992</c:v>
                </c:pt>
                <c:pt idx="5">
                  <c:v>5858</c:v>
                </c:pt>
                <c:pt idx="6">
                  <c:v>11508</c:v>
                </c:pt>
                <c:pt idx="7">
                  <c:v>11334</c:v>
                </c:pt>
                <c:pt idx="8">
                  <c:v>9167</c:v>
                </c:pt>
                <c:pt idx="9">
                  <c:v>9077</c:v>
                </c:pt>
                <c:pt idx="10">
                  <c:v>8775</c:v>
                </c:pt>
                <c:pt idx="11">
                  <c:v>6692</c:v>
                </c:pt>
                <c:pt idx="12">
                  <c:v>7655</c:v>
                </c:pt>
                <c:pt idx="13">
                  <c:v>9874</c:v>
                </c:pt>
                <c:pt idx="14">
                  <c:v>5472</c:v>
                </c:pt>
                <c:pt idx="15">
                  <c:v>7684</c:v>
                </c:pt>
                <c:pt idx="16">
                  <c:v>3106</c:v>
                </c:pt>
                <c:pt idx="17">
                  <c:v>4532</c:v>
                </c:pt>
                <c:pt idx="18">
                  <c:v>3106</c:v>
                </c:pt>
                <c:pt idx="19">
                  <c:v>4532</c:v>
                </c:pt>
                <c:pt idx="20">
                  <c:v>3106</c:v>
                </c:pt>
                <c:pt idx="21">
                  <c:v>5492</c:v>
                </c:pt>
                <c:pt idx="22">
                  <c:v>5492</c:v>
                </c:pt>
                <c:pt idx="23">
                  <c:v>6630</c:v>
                </c:pt>
                <c:pt idx="24">
                  <c:v>10447</c:v>
                </c:pt>
                <c:pt idx="25">
                  <c:v>10615</c:v>
                </c:pt>
                <c:pt idx="26">
                  <c:v>10337</c:v>
                </c:pt>
                <c:pt idx="27">
                  <c:v>8272</c:v>
                </c:pt>
                <c:pt idx="28">
                  <c:v>15331</c:v>
                </c:pt>
                <c:pt idx="29">
                  <c:v>15119</c:v>
                </c:pt>
                <c:pt idx="30">
                  <c:v>16020</c:v>
                </c:pt>
                <c:pt idx="31">
                  <c:v>11020</c:v>
                </c:pt>
                <c:pt idx="32">
                  <c:v>10426</c:v>
                </c:pt>
                <c:pt idx="33">
                  <c:v>11486</c:v>
                </c:pt>
              </c:numCache>
            </c:numRef>
          </c:xVal>
          <c:yVal>
            <c:numRef>
              <c:f>'Raw Data'!$L$2:$L$35</c:f>
              <c:numCache>
                <c:formatCode>General</c:formatCode>
                <c:ptCount val="34"/>
                <c:pt idx="0">
                  <c:v>366</c:v>
                </c:pt>
                <c:pt idx="1">
                  <c:v>125.7</c:v>
                </c:pt>
                <c:pt idx="2">
                  <c:v>478</c:v>
                </c:pt>
                <c:pt idx="3">
                  <c:v>478</c:v>
                </c:pt>
                <c:pt idx="4">
                  <c:v>385</c:v>
                </c:pt>
                <c:pt idx="5">
                  <c:v>204</c:v>
                </c:pt>
                <c:pt idx="6">
                  <c:v>553</c:v>
                </c:pt>
                <c:pt idx="7">
                  <c:v>553</c:v>
                </c:pt>
                <c:pt idx="8">
                  <c:v>553</c:v>
                </c:pt>
                <c:pt idx="9">
                  <c:v>553</c:v>
                </c:pt>
                <c:pt idx="10">
                  <c:v>909</c:v>
                </c:pt>
                <c:pt idx="11">
                  <c:v>400</c:v>
                </c:pt>
                <c:pt idx="12">
                  <c:v>468</c:v>
                </c:pt>
                <c:pt idx="13">
                  <c:v>336</c:v>
                </c:pt>
                <c:pt idx="14">
                  <c:v>306</c:v>
                </c:pt>
                <c:pt idx="15">
                  <c:v>306</c:v>
                </c:pt>
                <c:pt idx="16">
                  <c:v>306</c:v>
                </c:pt>
                <c:pt idx="17">
                  <c:v>306</c:v>
                </c:pt>
                <c:pt idx="18">
                  <c:v>306</c:v>
                </c:pt>
                <c:pt idx="19">
                  <c:v>306</c:v>
                </c:pt>
                <c:pt idx="20">
                  <c:v>306</c:v>
                </c:pt>
                <c:pt idx="21">
                  <c:v>306</c:v>
                </c:pt>
                <c:pt idx="22">
                  <c:v>306</c:v>
                </c:pt>
                <c:pt idx="23">
                  <c:v>630</c:v>
                </c:pt>
                <c:pt idx="24">
                  <c:v>468</c:v>
                </c:pt>
                <c:pt idx="25">
                  <c:v>468</c:v>
                </c:pt>
                <c:pt idx="26">
                  <c:v>468</c:v>
                </c:pt>
                <c:pt idx="27">
                  <c:v>468</c:v>
                </c:pt>
                <c:pt idx="28">
                  <c:v>934</c:v>
                </c:pt>
                <c:pt idx="29">
                  <c:v>934</c:v>
                </c:pt>
                <c:pt idx="30">
                  <c:v>934</c:v>
                </c:pt>
                <c:pt idx="31">
                  <c:v>934</c:v>
                </c:pt>
                <c:pt idx="32">
                  <c:v>934</c:v>
                </c:pt>
                <c:pt idx="33">
                  <c:v>1563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C09-4513-BADE-A00B79301E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3453680"/>
        <c:axId val="1883455120"/>
      </c:scatterChart>
      <c:valAx>
        <c:axId val="1883453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83455120"/>
        <c:crosses val="autoZero"/>
        <c:crossBetween val="midCat"/>
      </c:valAx>
      <c:valAx>
        <c:axId val="188345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83453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PRPL(mprop)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564801848748497"/>
          <c:y val="0.17585410895660208"/>
          <c:w val="0.8397080831368382"/>
          <c:h val="0.72203015828007644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8.8711730801091723E-2"/>
                  <c:y val="-0.3270753421284465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'Raw Data'!$E$2:$E$35</c:f>
              <c:numCache>
                <c:formatCode>General</c:formatCode>
                <c:ptCount val="34"/>
                <c:pt idx="0">
                  <c:v>8527</c:v>
                </c:pt>
                <c:pt idx="1">
                  <c:v>3364.6000000000004</c:v>
                </c:pt>
                <c:pt idx="2">
                  <c:v>25252</c:v>
                </c:pt>
                <c:pt idx="3">
                  <c:v>36399</c:v>
                </c:pt>
                <c:pt idx="4">
                  <c:v>44151</c:v>
                </c:pt>
                <c:pt idx="5">
                  <c:v>22502</c:v>
                </c:pt>
                <c:pt idx="6">
                  <c:v>25486</c:v>
                </c:pt>
                <c:pt idx="7">
                  <c:v>23833</c:v>
                </c:pt>
                <c:pt idx="8">
                  <c:v>19152</c:v>
                </c:pt>
                <c:pt idx="9">
                  <c:v>18312</c:v>
                </c:pt>
                <c:pt idx="10">
                  <c:v>23963</c:v>
                </c:pt>
                <c:pt idx="11">
                  <c:v>29580</c:v>
                </c:pt>
                <c:pt idx="12">
                  <c:v>25105</c:v>
                </c:pt>
                <c:pt idx="13">
                  <c:v>29769</c:v>
                </c:pt>
                <c:pt idx="14">
                  <c:v>27442</c:v>
                </c:pt>
                <c:pt idx="15">
                  <c:v>24744</c:v>
                </c:pt>
                <c:pt idx="16">
                  <c:v>10458</c:v>
                </c:pt>
                <c:pt idx="17">
                  <c:v>9350</c:v>
                </c:pt>
                <c:pt idx="18">
                  <c:v>10458</c:v>
                </c:pt>
                <c:pt idx="19">
                  <c:v>9350</c:v>
                </c:pt>
                <c:pt idx="20">
                  <c:v>10458</c:v>
                </c:pt>
                <c:pt idx="21">
                  <c:v>27575</c:v>
                </c:pt>
                <c:pt idx="22">
                  <c:v>27575</c:v>
                </c:pt>
                <c:pt idx="23">
                  <c:v>6900</c:v>
                </c:pt>
                <c:pt idx="24">
                  <c:v>24706</c:v>
                </c:pt>
                <c:pt idx="25">
                  <c:v>24706</c:v>
                </c:pt>
                <c:pt idx="26">
                  <c:v>24706</c:v>
                </c:pt>
                <c:pt idx="27">
                  <c:v>26371</c:v>
                </c:pt>
                <c:pt idx="28">
                  <c:v>28043</c:v>
                </c:pt>
                <c:pt idx="29">
                  <c:v>28043</c:v>
                </c:pt>
                <c:pt idx="30">
                  <c:v>28043</c:v>
                </c:pt>
                <c:pt idx="31">
                  <c:v>28043</c:v>
                </c:pt>
                <c:pt idx="32">
                  <c:v>28043</c:v>
                </c:pt>
                <c:pt idx="33">
                  <c:v>26182</c:v>
                </c:pt>
              </c:numCache>
            </c:numRef>
          </c:xVal>
          <c:yVal>
            <c:numRef>
              <c:f>'Raw Data'!$K$2:$K$35</c:f>
              <c:numCache>
                <c:formatCode>General</c:formatCode>
                <c:ptCount val="34"/>
                <c:pt idx="0">
                  <c:v>495</c:v>
                </c:pt>
                <c:pt idx="1">
                  <c:v>252.5</c:v>
                </c:pt>
                <c:pt idx="2">
                  <c:v>4258</c:v>
                </c:pt>
                <c:pt idx="3">
                  <c:v>2943</c:v>
                </c:pt>
                <c:pt idx="4">
                  <c:v>4969</c:v>
                </c:pt>
                <c:pt idx="5">
                  <c:v>1749</c:v>
                </c:pt>
                <c:pt idx="6">
                  <c:v>2425</c:v>
                </c:pt>
                <c:pt idx="7">
                  <c:v>2347</c:v>
                </c:pt>
                <c:pt idx="8">
                  <c:v>1125</c:v>
                </c:pt>
                <c:pt idx="9">
                  <c:v>1095</c:v>
                </c:pt>
                <c:pt idx="10">
                  <c:v>3006</c:v>
                </c:pt>
                <c:pt idx="11">
                  <c:v>1219</c:v>
                </c:pt>
                <c:pt idx="12">
                  <c:v>2362</c:v>
                </c:pt>
                <c:pt idx="13">
                  <c:v>1826</c:v>
                </c:pt>
                <c:pt idx="14">
                  <c:v>1616</c:v>
                </c:pt>
                <c:pt idx="15">
                  <c:v>2013</c:v>
                </c:pt>
                <c:pt idx="16">
                  <c:v>677</c:v>
                </c:pt>
                <c:pt idx="17">
                  <c:v>955</c:v>
                </c:pt>
                <c:pt idx="18">
                  <c:v>677</c:v>
                </c:pt>
                <c:pt idx="19">
                  <c:v>955</c:v>
                </c:pt>
                <c:pt idx="20">
                  <c:v>677</c:v>
                </c:pt>
                <c:pt idx="21">
                  <c:v>1624</c:v>
                </c:pt>
                <c:pt idx="22">
                  <c:v>1624</c:v>
                </c:pt>
                <c:pt idx="23">
                  <c:v>750</c:v>
                </c:pt>
                <c:pt idx="24">
                  <c:v>2239</c:v>
                </c:pt>
                <c:pt idx="25">
                  <c:v>2239</c:v>
                </c:pt>
                <c:pt idx="26">
                  <c:v>2239</c:v>
                </c:pt>
                <c:pt idx="27">
                  <c:v>2362</c:v>
                </c:pt>
                <c:pt idx="28">
                  <c:v>3111</c:v>
                </c:pt>
                <c:pt idx="29">
                  <c:v>3182</c:v>
                </c:pt>
                <c:pt idx="30">
                  <c:v>2889</c:v>
                </c:pt>
                <c:pt idx="31">
                  <c:v>2578</c:v>
                </c:pt>
                <c:pt idx="32">
                  <c:v>2601</c:v>
                </c:pt>
                <c:pt idx="33">
                  <c:v>2352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5F-4E93-8E17-36753B156E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3453680"/>
        <c:axId val="1883455120"/>
      </c:scatterChart>
      <c:valAx>
        <c:axId val="1883453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83455120"/>
        <c:crosses val="autoZero"/>
        <c:crossBetween val="midCat"/>
      </c:valAx>
      <c:valAx>
        <c:axId val="188345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83453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PRPL(mt)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564801848748497"/>
          <c:y val="0.17585410895660208"/>
          <c:w val="0.8397080831368382"/>
          <c:h val="0.72203015828007644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8.8711730801091723E-2"/>
                  <c:y val="-0.3270753421284465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'Raw Data'!$B$2:$B$35</c:f>
              <c:numCache>
                <c:formatCode>General</c:formatCode>
                <c:ptCount val="34"/>
                <c:pt idx="0">
                  <c:v>16194</c:v>
                </c:pt>
                <c:pt idx="1">
                  <c:v>5038.6000000000004</c:v>
                </c:pt>
                <c:pt idx="2">
                  <c:v>60075</c:v>
                </c:pt>
                <c:pt idx="3">
                  <c:v>69298</c:v>
                </c:pt>
                <c:pt idx="4">
                  <c:v>93037</c:v>
                </c:pt>
                <c:pt idx="5">
                  <c:v>44821</c:v>
                </c:pt>
                <c:pt idx="6">
                  <c:v>60935</c:v>
                </c:pt>
                <c:pt idx="7">
                  <c:v>56989</c:v>
                </c:pt>
                <c:pt idx="8">
                  <c:v>45807</c:v>
                </c:pt>
                <c:pt idx="9">
                  <c:v>43803</c:v>
                </c:pt>
                <c:pt idx="10">
                  <c:v>53600</c:v>
                </c:pt>
                <c:pt idx="11">
                  <c:v>54597</c:v>
                </c:pt>
                <c:pt idx="12">
                  <c:v>45862</c:v>
                </c:pt>
                <c:pt idx="13">
                  <c:v>81911</c:v>
                </c:pt>
                <c:pt idx="14">
                  <c:v>42259</c:v>
                </c:pt>
                <c:pt idx="15">
                  <c:v>41830</c:v>
                </c:pt>
                <c:pt idx="16">
                  <c:v>22891</c:v>
                </c:pt>
                <c:pt idx="17">
                  <c:v>23139</c:v>
                </c:pt>
                <c:pt idx="18">
                  <c:v>23164</c:v>
                </c:pt>
                <c:pt idx="19">
                  <c:v>23195</c:v>
                </c:pt>
                <c:pt idx="20">
                  <c:v>23164</c:v>
                </c:pt>
                <c:pt idx="21">
                  <c:v>47518</c:v>
                </c:pt>
                <c:pt idx="22">
                  <c:v>47301</c:v>
                </c:pt>
                <c:pt idx="23">
                  <c:v>19580</c:v>
                </c:pt>
                <c:pt idx="24">
                  <c:v>45000</c:v>
                </c:pt>
                <c:pt idx="25">
                  <c:v>45001</c:v>
                </c:pt>
                <c:pt idx="26">
                  <c:v>44999</c:v>
                </c:pt>
                <c:pt idx="27">
                  <c:v>53643</c:v>
                </c:pt>
                <c:pt idx="28">
                  <c:v>49972</c:v>
                </c:pt>
                <c:pt idx="29">
                  <c:v>49972</c:v>
                </c:pt>
                <c:pt idx="30">
                  <c:v>50005</c:v>
                </c:pt>
                <c:pt idx="31">
                  <c:v>49971</c:v>
                </c:pt>
                <c:pt idx="32">
                  <c:v>49972</c:v>
                </c:pt>
                <c:pt idx="33">
                  <c:v>44353</c:v>
                </c:pt>
              </c:numCache>
            </c:numRef>
          </c:xVal>
          <c:yVal>
            <c:numRef>
              <c:f>'Raw Data'!$K$2:$K$35</c:f>
              <c:numCache>
                <c:formatCode>General</c:formatCode>
                <c:ptCount val="34"/>
                <c:pt idx="0">
                  <c:v>495</c:v>
                </c:pt>
                <c:pt idx="1">
                  <c:v>252.5</c:v>
                </c:pt>
                <c:pt idx="2">
                  <c:v>4258</c:v>
                </c:pt>
                <c:pt idx="3">
                  <c:v>2943</c:v>
                </c:pt>
                <c:pt idx="4">
                  <c:v>4969</c:v>
                </c:pt>
                <c:pt idx="5">
                  <c:v>1749</c:v>
                </c:pt>
                <c:pt idx="6">
                  <c:v>2425</c:v>
                </c:pt>
                <c:pt idx="7">
                  <c:v>2347</c:v>
                </c:pt>
                <c:pt idx="8">
                  <c:v>1125</c:v>
                </c:pt>
                <c:pt idx="9">
                  <c:v>1095</c:v>
                </c:pt>
                <c:pt idx="10">
                  <c:v>3006</c:v>
                </c:pt>
                <c:pt idx="11">
                  <c:v>1219</c:v>
                </c:pt>
                <c:pt idx="12">
                  <c:v>2362</c:v>
                </c:pt>
                <c:pt idx="13">
                  <c:v>1826</c:v>
                </c:pt>
                <c:pt idx="14">
                  <c:v>1616</c:v>
                </c:pt>
                <c:pt idx="15">
                  <c:v>2013</c:v>
                </c:pt>
                <c:pt idx="16">
                  <c:v>677</c:v>
                </c:pt>
                <c:pt idx="17">
                  <c:v>955</c:v>
                </c:pt>
                <c:pt idx="18">
                  <c:v>677</c:v>
                </c:pt>
                <c:pt idx="19">
                  <c:v>955</c:v>
                </c:pt>
                <c:pt idx="20">
                  <c:v>677</c:v>
                </c:pt>
                <c:pt idx="21">
                  <c:v>1624</c:v>
                </c:pt>
                <c:pt idx="22">
                  <c:v>1624</c:v>
                </c:pt>
                <c:pt idx="23">
                  <c:v>750</c:v>
                </c:pt>
                <c:pt idx="24">
                  <c:v>2239</c:v>
                </c:pt>
                <c:pt idx="25">
                  <c:v>2239</c:v>
                </c:pt>
                <c:pt idx="26">
                  <c:v>2239</c:v>
                </c:pt>
                <c:pt idx="27">
                  <c:v>2362</c:v>
                </c:pt>
                <c:pt idx="28">
                  <c:v>3111</c:v>
                </c:pt>
                <c:pt idx="29">
                  <c:v>3182</c:v>
                </c:pt>
                <c:pt idx="30">
                  <c:v>2889</c:v>
                </c:pt>
                <c:pt idx="31">
                  <c:v>2578</c:v>
                </c:pt>
                <c:pt idx="32">
                  <c:v>2601</c:v>
                </c:pt>
                <c:pt idx="33">
                  <c:v>2352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2C4-4182-9169-217DF28AA2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3453680"/>
        <c:axId val="1883455120"/>
      </c:scatterChart>
      <c:valAx>
        <c:axId val="1883453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83455120"/>
        <c:crosses val="autoZero"/>
        <c:crossBetween val="midCat"/>
      </c:valAx>
      <c:valAx>
        <c:axId val="188345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83453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Thermal(minert)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564801848748497"/>
          <c:y val="0.17585410895660208"/>
          <c:w val="0.8397080831368382"/>
          <c:h val="0.72203015828007644"/>
        </c:manualLayout>
      </c:layout>
      <c:scatterChart>
        <c:scatterStyle val="lineMarker"/>
        <c:varyColors val="0"/>
        <c:ser>
          <c:idx val="0"/>
          <c:order val="0"/>
          <c:tx>
            <c:strRef>
              <c:f>'Raw Data'!$B$2:$B$35</c:f>
              <c:strCache>
                <c:ptCount val="34"/>
                <c:pt idx="0">
                  <c:v>16194</c:v>
                </c:pt>
                <c:pt idx="1">
                  <c:v>5038.6</c:v>
                </c:pt>
                <c:pt idx="2">
                  <c:v>60075</c:v>
                </c:pt>
                <c:pt idx="3">
                  <c:v>69298</c:v>
                </c:pt>
                <c:pt idx="4">
                  <c:v>93037</c:v>
                </c:pt>
                <c:pt idx="5">
                  <c:v>44821</c:v>
                </c:pt>
                <c:pt idx="6">
                  <c:v>60935</c:v>
                </c:pt>
                <c:pt idx="7">
                  <c:v>56989</c:v>
                </c:pt>
                <c:pt idx="8">
                  <c:v>45807</c:v>
                </c:pt>
                <c:pt idx="9">
                  <c:v>43803</c:v>
                </c:pt>
                <c:pt idx="10">
                  <c:v>53600</c:v>
                </c:pt>
                <c:pt idx="11">
                  <c:v>54597</c:v>
                </c:pt>
                <c:pt idx="12">
                  <c:v>45862</c:v>
                </c:pt>
                <c:pt idx="13">
                  <c:v>81911</c:v>
                </c:pt>
                <c:pt idx="14">
                  <c:v>42259</c:v>
                </c:pt>
                <c:pt idx="15">
                  <c:v>41830</c:v>
                </c:pt>
                <c:pt idx="16">
                  <c:v>22891</c:v>
                </c:pt>
                <c:pt idx="17">
                  <c:v>23139</c:v>
                </c:pt>
                <c:pt idx="18">
                  <c:v>23164</c:v>
                </c:pt>
                <c:pt idx="19">
                  <c:v>23195</c:v>
                </c:pt>
                <c:pt idx="20">
                  <c:v>23164</c:v>
                </c:pt>
                <c:pt idx="21">
                  <c:v>47518</c:v>
                </c:pt>
                <c:pt idx="22">
                  <c:v>47301</c:v>
                </c:pt>
                <c:pt idx="23">
                  <c:v>19580</c:v>
                </c:pt>
                <c:pt idx="24">
                  <c:v>45000</c:v>
                </c:pt>
                <c:pt idx="25">
                  <c:v>45001</c:v>
                </c:pt>
                <c:pt idx="26">
                  <c:v>44999</c:v>
                </c:pt>
                <c:pt idx="27">
                  <c:v>53643</c:v>
                </c:pt>
                <c:pt idx="28">
                  <c:v>49972</c:v>
                </c:pt>
                <c:pt idx="29">
                  <c:v>49972</c:v>
                </c:pt>
                <c:pt idx="30">
                  <c:v>50005</c:v>
                </c:pt>
                <c:pt idx="31">
                  <c:v>49971</c:v>
                </c:pt>
                <c:pt idx="32">
                  <c:v>49972</c:v>
                </c:pt>
                <c:pt idx="33">
                  <c:v>44353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6.4770305709289461E-2"/>
                  <c:y val="-0.452902740304315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'Raw Data'!$F$2:$F$35</c:f>
              <c:numCache>
                <c:formatCode>General</c:formatCode>
                <c:ptCount val="34"/>
                <c:pt idx="0">
                  <c:v>7667</c:v>
                </c:pt>
                <c:pt idx="1">
                  <c:v>1674</c:v>
                </c:pt>
                <c:pt idx="2">
                  <c:v>34823</c:v>
                </c:pt>
                <c:pt idx="3">
                  <c:v>32899</c:v>
                </c:pt>
                <c:pt idx="4">
                  <c:v>48886</c:v>
                </c:pt>
                <c:pt idx="5">
                  <c:v>22319</c:v>
                </c:pt>
                <c:pt idx="6">
                  <c:v>35449</c:v>
                </c:pt>
                <c:pt idx="7">
                  <c:v>33156</c:v>
                </c:pt>
                <c:pt idx="8">
                  <c:v>26655</c:v>
                </c:pt>
                <c:pt idx="9">
                  <c:v>25491</c:v>
                </c:pt>
                <c:pt idx="10">
                  <c:v>29637</c:v>
                </c:pt>
                <c:pt idx="11">
                  <c:v>25017</c:v>
                </c:pt>
                <c:pt idx="12">
                  <c:v>20757</c:v>
                </c:pt>
                <c:pt idx="13">
                  <c:v>52142</c:v>
                </c:pt>
                <c:pt idx="14">
                  <c:v>14817</c:v>
                </c:pt>
                <c:pt idx="15">
                  <c:v>17086</c:v>
                </c:pt>
                <c:pt idx="16">
                  <c:v>12433</c:v>
                </c:pt>
                <c:pt idx="17">
                  <c:v>13789</c:v>
                </c:pt>
                <c:pt idx="18">
                  <c:v>12706</c:v>
                </c:pt>
                <c:pt idx="19">
                  <c:v>13845</c:v>
                </c:pt>
                <c:pt idx="20">
                  <c:v>12706</c:v>
                </c:pt>
                <c:pt idx="21">
                  <c:v>19943</c:v>
                </c:pt>
                <c:pt idx="22">
                  <c:v>19726</c:v>
                </c:pt>
                <c:pt idx="23">
                  <c:v>12680</c:v>
                </c:pt>
                <c:pt idx="24">
                  <c:v>20294</c:v>
                </c:pt>
                <c:pt idx="25">
                  <c:v>20295</c:v>
                </c:pt>
                <c:pt idx="26">
                  <c:v>20293</c:v>
                </c:pt>
                <c:pt idx="27">
                  <c:v>27272</c:v>
                </c:pt>
                <c:pt idx="28">
                  <c:v>21929</c:v>
                </c:pt>
                <c:pt idx="29">
                  <c:v>21929</c:v>
                </c:pt>
                <c:pt idx="30">
                  <c:v>21962</c:v>
                </c:pt>
                <c:pt idx="31">
                  <c:v>21928</c:v>
                </c:pt>
                <c:pt idx="32">
                  <c:v>21929</c:v>
                </c:pt>
                <c:pt idx="33">
                  <c:v>18171</c:v>
                </c:pt>
              </c:numCache>
            </c:numRef>
          </c:xVal>
          <c:yVal>
            <c:numRef>
              <c:f>'Raw Data'!$N$2:$N$35</c:f>
              <c:numCache>
                <c:formatCode>General</c:formatCode>
                <c:ptCount val="34"/>
                <c:pt idx="0">
                  <c:v>404</c:v>
                </c:pt>
                <c:pt idx="1">
                  <c:v>113.5</c:v>
                </c:pt>
                <c:pt idx="2">
                  <c:v>2017</c:v>
                </c:pt>
                <c:pt idx="3">
                  <c:v>1006</c:v>
                </c:pt>
                <c:pt idx="4">
                  <c:v>420</c:v>
                </c:pt>
                <c:pt idx="5">
                  <c:v>1</c:v>
                </c:pt>
                <c:pt idx="6">
                  <c:v>1072</c:v>
                </c:pt>
                <c:pt idx="7">
                  <c:v>1066</c:v>
                </c:pt>
                <c:pt idx="8">
                  <c:v>1049</c:v>
                </c:pt>
                <c:pt idx="9">
                  <c:v>1046</c:v>
                </c:pt>
                <c:pt idx="10">
                  <c:v>832</c:v>
                </c:pt>
                <c:pt idx="11">
                  <c:v>1</c:v>
                </c:pt>
                <c:pt idx="12">
                  <c:v>369</c:v>
                </c:pt>
                <c:pt idx="13">
                  <c:v>1168</c:v>
                </c:pt>
                <c:pt idx="14">
                  <c:v>286</c:v>
                </c:pt>
                <c:pt idx="15">
                  <c:v>265</c:v>
                </c:pt>
                <c:pt idx="16">
                  <c:v>210</c:v>
                </c:pt>
                <c:pt idx="17">
                  <c:v>219</c:v>
                </c:pt>
                <c:pt idx="18">
                  <c:v>210</c:v>
                </c:pt>
                <c:pt idx="19">
                  <c:v>219</c:v>
                </c:pt>
                <c:pt idx="20">
                  <c:v>210</c:v>
                </c:pt>
                <c:pt idx="21">
                  <c:v>286</c:v>
                </c:pt>
                <c:pt idx="22">
                  <c:v>286</c:v>
                </c:pt>
                <c:pt idx="23">
                  <c:v>800</c:v>
                </c:pt>
                <c:pt idx="24">
                  <c:v>1207</c:v>
                </c:pt>
                <c:pt idx="25">
                  <c:v>1192</c:v>
                </c:pt>
                <c:pt idx="26">
                  <c:v>1192</c:v>
                </c:pt>
                <c:pt idx="27">
                  <c:v>369</c:v>
                </c:pt>
                <c:pt idx="28">
                  <c:v>336</c:v>
                </c:pt>
                <c:pt idx="29">
                  <c:v>336</c:v>
                </c:pt>
                <c:pt idx="30">
                  <c:v>336</c:v>
                </c:pt>
                <c:pt idx="31">
                  <c:v>336</c:v>
                </c:pt>
                <c:pt idx="32">
                  <c:v>336</c:v>
                </c:pt>
                <c:pt idx="33">
                  <c:v>1040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6A-449C-AD28-33C29CBD0E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3453680"/>
        <c:axId val="1883455120"/>
      </c:scatterChart>
      <c:valAx>
        <c:axId val="1883453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83455120"/>
        <c:crosses val="autoZero"/>
        <c:crossBetween val="midCat"/>
      </c:valAx>
      <c:valAx>
        <c:axId val="188345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83453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Thermal(mt)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564801848748497"/>
          <c:y val="0.17585410895660208"/>
          <c:w val="0.8397080831368382"/>
          <c:h val="0.72203015828007644"/>
        </c:manualLayout>
      </c:layout>
      <c:scatterChart>
        <c:scatterStyle val="lineMarker"/>
        <c:varyColors val="0"/>
        <c:ser>
          <c:idx val="0"/>
          <c:order val="0"/>
          <c:tx>
            <c:strRef>
              <c:f>'Raw Data'!$B$2:$B$35</c:f>
              <c:strCache>
                <c:ptCount val="34"/>
                <c:pt idx="0">
                  <c:v>16194</c:v>
                </c:pt>
                <c:pt idx="1">
                  <c:v>5038.6</c:v>
                </c:pt>
                <c:pt idx="2">
                  <c:v>60075</c:v>
                </c:pt>
                <c:pt idx="3">
                  <c:v>69298</c:v>
                </c:pt>
                <c:pt idx="4">
                  <c:v>93037</c:v>
                </c:pt>
                <c:pt idx="5">
                  <c:v>44821</c:v>
                </c:pt>
                <c:pt idx="6">
                  <c:v>60935</c:v>
                </c:pt>
                <c:pt idx="7">
                  <c:v>56989</c:v>
                </c:pt>
                <c:pt idx="8">
                  <c:v>45807</c:v>
                </c:pt>
                <c:pt idx="9">
                  <c:v>43803</c:v>
                </c:pt>
                <c:pt idx="10">
                  <c:v>53600</c:v>
                </c:pt>
                <c:pt idx="11">
                  <c:v>54597</c:v>
                </c:pt>
                <c:pt idx="12">
                  <c:v>45862</c:v>
                </c:pt>
                <c:pt idx="13">
                  <c:v>81911</c:v>
                </c:pt>
                <c:pt idx="14">
                  <c:v>42259</c:v>
                </c:pt>
                <c:pt idx="15">
                  <c:v>41830</c:v>
                </c:pt>
                <c:pt idx="16">
                  <c:v>22891</c:v>
                </c:pt>
                <c:pt idx="17">
                  <c:v>23139</c:v>
                </c:pt>
                <c:pt idx="18">
                  <c:v>23164</c:v>
                </c:pt>
                <c:pt idx="19">
                  <c:v>23195</c:v>
                </c:pt>
                <c:pt idx="20">
                  <c:v>23164</c:v>
                </c:pt>
                <c:pt idx="21">
                  <c:v>47518</c:v>
                </c:pt>
                <c:pt idx="22">
                  <c:v>47301</c:v>
                </c:pt>
                <c:pt idx="23">
                  <c:v>19580</c:v>
                </c:pt>
                <c:pt idx="24">
                  <c:v>45000</c:v>
                </c:pt>
                <c:pt idx="25">
                  <c:v>45001</c:v>
                </c:pt>
                <c:pt idx="26">
                  <c:v>44999</c:v>
                </c:pt>
                <c:pt idx="27">
                  <c:v>53643</c:v>
                </c:pt>
                <c:pt idx="28">
                  <c:v>49972</c:v>
                </c:pt>
                <c:pt idx="29">
                  <c:v>49972</c:v>
                </c:pt>
                <c:pt idx="30">
                  <c:v>50005</c:v>
                </c:pt>
                <c:pt idx="31">
                  <c:v>49971</c:v>
                </c:pt>
                <c:pt idx="32">
                  <c:v>49972</c:v>
                </c:pt>
                <c:pt idx="33">
                  <c:v>44353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6.4770305709289461E-2"/>
                  <c:y val="-0.452902740304315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'Raw Data'!$B$2:$B$35</c:f>
              <c:numCache>
                <c:formatCode>General</c:formatCode>
                <c:ptCount val="34"/>
                <c:pt idx="0">
                  <c:v>16194</c:v>
                </c:pt>
                <c:pt idx="1">
                  <c:v>5038.6000000000004</c:v>
                </c:pt>
                <c:pt idx="2">
                  <c:v>60075</c:v>
                </c:pt>
                <c:pt idx="3">
                  <c:v>69298</c:v>
                </c:pt>
                <c:pt idx="4">
                  <c:v>93037</c:v>
                </c:pt>
                <c:pt idx="5">
                  <c:v>44821</c:v>
                </c:pt>
                <c:pt idx="6">
                  <c:v>60935</c:v>
                </c:pt>
                <c:pt idx="7">
                  <c:v>56989</c:v>
                </c:pt>
                <c:pt idx="8">
                  <c:v>45807</c:v>
                </c:pt>
                <c:pt idx="9">
                  <c:v>43803</c:v>
                </c:pt>
                <c:pt idx="10">
                  <c:v>53600</c:v>
                </c:pt>
                <c:pt idx="11">
                  <c:v>54597</c:v>
                </c:pt>
                <c:pt idx="12">
                  <c:v>45862</c:v>
                </c:pt>
                <c:pt idx="13">
                  <c:v>81911</c:v>
                </c:pt>
                <c:pt idx="14">
                  <c:v>42259</c:v>
                </c:pt>
                <c:pt idx="15">
                  <c:v>41830</c:v>
                </c:pt>
                <c:pt idx="16">
                  <c:v>22891</c:v>
                </c:pt>
                <c:pt idx="17">
                  <c:v>23139</c:v>
                </c:pt>
                <c:pt idx="18">
                  <c:v>23164</c:v>
                </c:pt>
                <c:pt idx="19">
                  <c:v>23195</c:v>
                </c:pt>
                <c:pt idx="20">
                  <c:v>23164</c:v>
                </c:pt>
                <c:pt idx="21">
                  <c:v>47518</c:v>
                </c:pt>
                <c:pt idx="22">
                  <c:v>47301</c:v>
                </c:pt>
                <c:pt idx="23">
                  <c:v>19580</c:v>
                </c:pt>
                <c:pt idx="24">
                  <c:v>45000</c:v>
                </c:pt>
                <c:pt idx="25">
                  <c:v>45001</c:v>
                </c:pt>
                <c:pt idx="26">
                  <c:v>44999</c:v>
                </c:pt>
                <c:pt idx="27">
                  <c:v>53643</c:v>
                </c:pt>
                <c:pt idx="28">
                  <c:v>49972</c:v>
                </c:pt>
                <c:pt idx="29">
                  <c:v>49972</c:v>
                </c:pt>
                <c:pt idx="30">
                  <c:v>50005</c:v>
                </c:pt>
                <c:pt idx="31">
                  <c:v>49971</c:v>
                </c:pt>
                <c:pt idx="32">
                  <c:v>49972</c:v>
                </c:pt>
                <c:pt idx="33">
                  <c:v>44353</c:v>
                </c:pt>
              </c:numCache>
            </c:numRef>
          </c:xVal>
          <c:yVal>
            <c:numRef>
              <c:f>'Raw Data'!$N$2:$N$35</c:f>
              <c:numCache>
                <c:formatCode>General</c:formatCode>
                <c:ptCount val="34"/>
                <c:pt idx="0">
                  <c:v>404</c:v>
                </c:pt>
                <c:pt idx="1">
                  <c:v>113.5</c:v>
                </c:pt>
                <c:pt idx="2">
                  <c:v>2017</c:v>
                </c:pt>
                <c:pt idx="3">
                  <c:v>1006</c:v>
                </c:pt>
                <c:pt idx="4">
                  <c:v>420</c:v>
                </c:pt>
                <c:pt idx="5">
                  <c:v>1</c:v>
                </c:pt>
                <c:pt idx="6">
                  <c:v>1072</c:v>
                </c:pt>
                <c:pt idx="7">
                  <c:v>1066</c:v>
                </c:pt>
                <c:pt idx="8">
                  <c:v>1049</c:v>
                </c:pt>
                <c:pt idx="9">
                  <c:v>1046</c:v>
                </c:pt>
                <c:pt idx="10">
                  <c:v>832</c:v>
                </c:pt>
                <c:pt idx="11">
                  <c:v>1</c:v>
                </c:pt>
                <c:pt idx="12">
                  <c:v>369</c:v>
                </c:pt>
                <c:pt idx="13">
                  <c:v>1168</c:v>
                </c:pt>
                <c:pt idx="14">
                  <c:v>286</c:v>
                </c:pt>
                <c:pt idx="15">
                  <c:v>265</c:v>
                </c:pt>
                <c:pt idx="16">
                  <c:v>210</c:v>
                </c:pt>
                <c:pt idx="17">
                  <c:v>219</c:v>
                </c:pt>
                <c:pt idx="18">
                  <c:v>210</c:v>
                </c:pt>
                <c:pt idx="19">
                  <c:v>219</c:v>
                </c:pt>
                <c:pt idx="20">
                  <c:v>210</c:v>
                </c:pt>
                <c:pt idx="21">
                  <c:v>286</c:v>
                </c:pt>
                <c:pt idx="22">
                  <c:v>286</c:v>
                </c:pt>
                <c:pt idx="23">
                  <c:v>800</c:v>
                </c:pt>
                <c:pt idx="24">
                  <c:v>1207</c:v>
                </c:pt>
                <c:pt idx="25">
                  <c:v>1192</c:v>
                </c:pt>
                <c:pt idx="26">
                  <c:v>1192</c:v>
                </c:pt>
                <c:pt idx="27">
                  <c:v>369</c:v>
                </c:pt>
                <c:pt idx="28">
                  <c:v>336</c:v>
                </c:pt>
                <c:pt idx="29">
                  <c:v>336</c:v>
                </c:pt>
                <c:pt idx="30">
                  <c:v>336</c:v>
                </c:pt>
                <c:pt idx="31">
                  <c:v>336</c:v>
                </c:pt>
                <c:pt idx="32">
                  <c:v>336</c:v>
                </c:pt>
                <c:pt idx="33">
                  <c:v>1040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DC1-4128-A65F-A03ABF094D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3453680"/>
        <c:axId val="1883455120"/>
      </c:scatterChart>
      <c:valAx>
        <c:axId val="1883453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83455120"/>
        <c:crosses val="autoZero"/>
        <c:crossBetween val="midCat"/>
      </c:valAx>
      <c:valAx>
        <c:axId val="188345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83453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Other(md)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564801848748497"/>
          <c:y val="0.17585410895660208"/>
          <c:w val="0.8397080831368382"/>
          <c:h val="0.72203015828007644"/>
        </c:manualLayout>
      </c:layout>
      <c:scatterChart>
        <c:scatterStyle val="lineMarker"/>
        <c:varyColors val="0"/>
        <c:ser>
          <c:idx val="0"/>
          <c:order val="0"/>
          <c:tx>
            <c:strRef>
              <c:f>'Raw Data'!$O$2:$O$34</c:f>
              <c:strCache>
                <c:ptCount val="33"/>
                <c:pt idx="0">
                  <c:v>619</c:v>
                </c:pt>
                <c:pt idx="1">
                  <c:v>56</c:v>
                </c:pt>
                <c:pt idx="2">
                  <c:v>455</c:v>
                </c:pt>
                <c:pt idx="3">
                  <c:v>455</c:v>
                </c:pt>
                <c:pt idx="4">
                  <c:v>3263</c:v>
                </c:pt>
                <c:pt idx="5">
                  <c:v>265</c:v>
                </c:pt>
                <c:pt idx="6">
                  <c:v>3341</c:v>
                </c:pt>
                <c:pt idx="7">
                  <c:v>3306</c:v>
                </c:pt>
                <c:pt idx="8">
                  <c:v>2775</c:v>
                </c:pt>
                <c:pt idx="9">
                  <c:v>2747</c:v>
                </c:pt>
                <c:pt idx="10">
                  <c:v>1426</c:v>
                </c:pt>
                <c:pt idx="11">
                  <c:v>1116</c:v>
                </c:pt>
                <c:pt idx="12">
                  <c:v>2251</c:v>
                </c:pt>
                <c:pt idx="13">
                  <c:v>2429</c:v>
                </c:pt>
                <c:pt idx="14">
                  <c:v>1397</c:v>
                </c:pt>
                <c:pt idx="15">
                  <c:v>2739</c:v>
                </c:pt>
                <c:pt idx="16">
                  <c:v>933</c:v>
                </c:pt>
                <c:pt idx="17">
                  <c:v>1692</c:v>
                </c:pt>
                <c:pt idx="18">
                  <c:v>933</c:v>
                </c:pt>
                <c:pt idx="19">
                  <c:v>1692</c:v>
                </c:pt>
                <c:pt idx="20">
                  <c:v>933</c:v>
                </c:pt>
                <c:pt idx="21">
                  <c:v>1400</c:v>
                </c:pt>
                <c:pt idx="22">
                  <c:v>1400</c:v>
                </c:pt>
                <c:pt idx="23">
                  <c:v>2380</c:v>
                </c:pt>
                <c:pt idx="24">
                  <c:v>2918</c:v>
                </c:pt>
                <c:pt idx="25">
                  <c:v>2769</c:v>
                </c:pt>
                <c:pt idx="26">
                  <c:v>2417</c:v>
                </c:pt>
                <c:pt idx="27">
                  <c:v>2251</c:v>
                </c:pt>
                <c:pt idx="28">
                  <c:v>4100</c:v>
                </c:pt>
                <c:pt idx="29">
                  <c:v>4100</c:v>
                </c:pt>
                <c:pt idx="30">
                  <c:v>2891</c:v>
                </c:pt>
                <c:pt idx="31">
                  <c:v>3595</c:v>
                </c:pt>
                <c:pt idx="32">
                  <c:v>3279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0.17499275801227199"/>
                  <c:y val="-0.1758540780851078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'Raw Data'!$C$2:$C$35</c:f>
              <c:numCache>
                <c:formatCode>General</c:formatCode>
                <c:ptCount val="34"/>
                <c:pt idx="0">
                  <c:v>2373</c:v>
                </c:pt>
                <c:pt idx="1">
                  <c:v>1171.9000000000001</c:v>
                </c:pt>
                <c:pt idx="2">
                  <c:v>9823</c:v>
                </c:pt>
                <c:pt idx="3">
                  <c:v>7899</c:v>
                </c:pt>
                <c:pt idx="4">
                  <c:v>12992</c:v>
                </c:pt>
                <c:pt idx="5">
                  <c:v>5858</c:v>
                </c:pt>
                <c:pt idx="6">
                  <c:v>11508</c:v>
                </c:pt>
                <c:pt idx="7">
                  <c:v>11334</c:v>
                </c:pt>
                <c:pt idx="8">
                  <c:v>9167</c:v>
                </c:pt>
                <c:pt idx="9">
                  <c:v>9077</c:v>
                </c:pt>
                <c:pt idx="10">
                  <c:v>8775</c:v>
                </c:pt>
                <c:pt idx="11">
                  <c:v>6692</c:v>
                </c:pt>
                <c:pt idx="12">
                  <c:v>7655</c:v>
                </c:pt>
                <c:pt idx="13">
                  <c:v>9874</c:v>
                </c:pt>
                <c:pt idx="14">
                  <c:v>5472</c:v>
                </c:pt>
                <c:pt idx="15">
                  <c:v>7684</c:v>
                </c:pt>
                <c:pt idx="16">
                  <c:v>3106</c:v>
                </c:pt>
                <c:pt idx="17">
                  <c:v>4532</c:v>
                </c:pt>
                <c:pt idx="18">
                  <c:v>3106</c:v>
                </c:pt>
                <c:pt idx="19">
                  <c:v>4532</c:v>
                </c:pt>
                <c:pt idx="20">
                  <c:v>3106</c:v>
                </c:pt>
                <c:pt idx="21">
                  <c:v>5492</c:v>
                </c:pt>
                <c:pt idx="22">
                  <c:v>5492</c:v>
                </c:pt>
                <c:pt idx="23">
                  <c:v>6630</c:v>
                </c:pt>
                <c:pt idx="24">
                  <c:v>10447</c:v>
                </c:pt>
                <c:pt idx="25">
                  <c:v>10615</c:v>
                </c:pt>
                <c:pt idx="26">
                  <c:v>10337</c:v>
                </c:pt>
                <c:pt idx="27">
                  <c:v>8272</c:v>
                </c:pt>
                <c:pt idx="28">
                  <c:v>15331</c:v>
                </c:pt>
                <c:pt idx="29">
                  <c:v>15119</c:v>
                </c:pt>
                <c:pt idx="30">
                  <c:v>16020</c:v>
                </c:pt>
                <c:pt idx="31">
                  <c:v>11020</c:v>
                </c:pt>
                <c:pt idx="32">
                  <c:v>10426</c:v>
                </c:pt>
                <c:pt idx="33">
                  <c:v>11486</c:v>
                </c:pt>
              </c:numCache>
            </c:numRef>
          </c:xVal>
          <c:yVal>
            <c:numRef>
              <c:f>'Raw Data'!$O$2:$O$35</c:f>
              <c:numCache>
                <c:formatCode>General</c:formatCode>
                <c:ptCount val="34"/>
                <c:pt idx="0">
                  <c:v>619</c:v>
                </c:pt>
                <c:pt idx="1">
                  <c:v>56</c:v>
                </c:pt>
                <c:pt idx="2">
                  <c:v>455</c:v>
                </c:pt>
                <c:pt idx="3">
                  <c:v>455</c:v>
                </c:pt>
                <c:pt idx="4">
                  <c:v>3263</c:v>
                </c:pt>
                <c:pt idx="5">
                  <c:v>265</c:v>
                </c:pt>
                <c:pt idx="6">
                  <c:v>3341</c:v>
                </c:pt>
                <c:pt idx="7">
                  <c:v>3306</c:v>
                </c:pt>
                <c:pt idx="8">
                  <c:v>2775</c:v>
                </c:pt>
                <c:pt idx="9">
                  <c:v>2747</c:v>
                </c:pt>
                <c:pt idx="10">
                  <c:v>1426</c:v>
                </c:pt>
                <c:pt idx="11">
                  <c:v>1116</c:v>
                </c:pt>
                <c:pt idx="12">
                  <c:v>2251</c:v>
                </c:pt>
                <c:pt idx="13">
                  <c:v>2429</c:v>
                </c:pt>
                <c:pt idx="14">
                  <c:v>1397</c:v>
                </c:pt>
                <c:pt idx="15">
                  <c:v>2739</c:v>
                </c:pt>
                <c:pt idx="16">
                  <c:v>933</c:v>
                </c:pt>
                <c:pt idx="17">
                  <c:v>1692</c:v>
                </c:pt>
                <c:pt idx="18">
                  <c:v>933</c:v>
                </c:pt>
                <c:pt idx="19">
                  <c:v>1692</c:v>
                </c:pt>
                <c:pt idx="20">
                  <c:v>933</c:v>
                </c:pt>
                <c:pt idx="21">
                  <c:v>1400</c:v>
                </c:pt>
                <c:pt idx="22">
                  <c:v>1400</c:v>
                </c:pt>
                <c:pt idx="23">
                  <c:v>2380</c:v>
                </c:pt>
                <c:pt idx="24">
                  <c:v>2918</c:v>
                </c:pt>
                <c:pt idx="25">
                  <c:v>2769</c:v>
                </c:pt>
                <c:pt idx="26">
                  <c:v>2417</c:v>
                </c:pt>
                <c:pt idx="27">
                  <c:v>2251</c:v>
                </c:pt>
                <c:pt idx="28">
                  <c:v>4100</c:v>
                </c:pt>
                <c:pt idx="29">
                  <c:v>4100</c:v>
                </c:pt>
                <c:pt idx="30">
                  <c:v>2891</c:v>
                </c:pt>
                <c:pt idx="31">
                  <c:v>3595</c:v>
                </c:pt>
                <c:pt idx="32">
                  <c:v>3279</c:v>
                </c:pt>
                <c:pt idx="33">
                  <c:v>1329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760-4584-A2FB-2EA8A52F1A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3453680"/>
        <c:axId val="1883455120"/>
      </c:scatterChart>
      <c:valAx>
        <c:axId val="1883453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83455120"/>
        <c:crosses val="autoZero"/>
        <c:crossBetween val="midCat"/>
      </c:valAx>
      <c:valAx>
        <c:axId val="188345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83453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8.0402282539725575E-2"/>
                  <c:y val="-0.4053296797019869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'Raw Data'!$D$2:$D$35</c:f>
              <c:numCache>
                <c:formatCode>General</c:formatCode>
                <c:ptCount val="34"/>
                <c:pt idx="0">
                  <c:v>5294</c:v>
                </c:pt>
                <c:pt idx="1">
                  <c:v>502.1</c:v>
                </c:pt>
                <c:pt idx="2">
                  <c:v>25000</c:v>
                </c:pt>
                <c:pt idx="3">
                  <c:v>25000</c:v>
                </c:pt>
                <c:pt idx="4">
                  <c:v>35894</c:v>
                </c:pt>
                <c:pt idx="5">
                  <c:v>16461</c:v>
                </c:pt>
                <c:pt idx="6">
                  <c:v>23941</c:v>
                </c:pt>
                <c:pt idx="7">
                  <c:v>21822</c:v>
                </c:pt>
                <c:pt idx="8">
                  <c:v>17488</c:v>
                </c:pt>
                <c:pt idx="9">
                  <c:v>16414</c:v>
                </c:pt>
                <c:pt idx="10">
                  <c:v>20862</c:v>
                </c:pt>
                <c:pt idx="11">
                  <c:v>18325</c:v>
                </c:pt>
                <c:pt idx="12">
                  <c:v>13102</c:v>
                </c:pt>
                <c:pt idx="13">
                  <c:v>42268</c:v>
                </c:pt>
                <c:pt idx="14">
                  <c:v>9345</c:v>
                </c:pt>
                <c:pt idx="15">
                  <c:v>9402</c:v>
                </c:pt>
                <c:pt idx="16">
                  <c:v>9327</c:v>
                </c:pt>
                <c:pt idx="17">
                  <c:v>9257</c:v>
                </c:pt>
                <c:pt idx="18">
                  <c:v>9600</c:v>
                </c:pt>
                <c:pt idx="19">
                  <c:v>9313</c:v>
                </c:pt>
                <c:pt idx="20">
                  <c:v>9600</c:v>
                </c:pt>
                <c:pt idx="21">
                  <c:v>14451</c:v>
                </c:pt>
                <c:pt idx="22">
                  <c:v>14234</c:v>
                </c:pt>
                <c:pt idx="23">
                  <c:v>6050</c:v>
                </c:pt>
                <c:pt idx="24">
                  <c:v>9847</c:v>
                </c:pt>
                <c:pt idx="25">
                  <c:v>9680</c:v>
                </c:pt>
                <c:pt idx="26">
                  <c:v>9956</c:v>
                </c:pt>
                <c:pt idx="27">
                  <c:v>19000</c:v>
                </c:pt>
                <c:pt idx="28">
                  <c:v>6598</c:v>
                </c:pt>
                <c:pt idx="29">
                  <c:v>6810</c:v>
                </c:pt>
                <c:pt idx="30">
                  <c:v>5942</c:v>
                </c:pt>
                <c:pt idx="31">
                  <c:v>10908</c:v>
                </c:pt>
                <c:pt idx="32">
                  <c:v>11503</c:v>
                </c:pt>
                <c:pt idx="33">
                  <c:v>6685</c:v>
                </c:pt>
              </c:numCache>
            </c:numRef>
          </c:xVal>
          <c:yVal>
            <c:numRef>
              <c:f>'Raw Data'!$C$2:$C$35</c:f>
              <c:numCache>
                <c:formatCode>General</c:formatCode>
                <c:ptCount val="34"/>
                <c:pt idx="0">
                  <c:v>2373</c:v>
                </c:pt>
                <c:pt idx="1">
                  <c:v>1171.9000000000001</c:v>
                </c:pt>
                <c:pt idx="2">
                  <c:v>9823</c:v>
                </c:pt>
                <c:pt idx="3">
                  <c:v>7899</c:v>
                </c:pt>
                <c:pt idx="4">
                  <c:v>12992</c:v>
                </c:pt>
                <c:pt idx="5">
                  <c:v>5858</c:v>
                </c:pt>
                <c:pt idx="6">
                  <c:v>11508</c:v>
                </c:pt>
                <c:pt idx="7">
                  <c:v>11334</c:v>
                </c:pt>
                <c:pt idx="8">
                  <c:v>9167</c:v>
                </c:pt>
                <c:pt idx="9">
                  <c:v>9077</c:v>
                </c:pt>
                <c:pt idx="10">
                  <c:v>8775</c:v>
                </c:pt>
                <c:pt idx="11">
                  <c:v>6692</c:v>
                </c:pt>
                <c:pt idx="12">
                  <c:v>7655</c:v>
                </c:pt>
                <c:pt idx="13">
                  <c:v>9874</c:v>
                </c:pt>
                <c:pt idx="14">
                  <c:v>5472</c:v>
                </c:pt>
                <c:pt idx="15">
                  <c:v>7684</c:v>
                </c:pt>
                <c:pt idx="16">
                  <c:v>3106</c:v>
                </c:pt>
                <c:pt idx="17">
                  <c:v>4532</c:v>
                </c:pt>
                <c:pt idx="18">
                  <c:v>3106</c:v>
                </c:pt>
                <c:pt idx="19">
                  <c:v>4532</c:v>
                </c:pt>
                <c:pt idx="20">
                  <c:v>3106</c:v>
                </c:pt>
                <c:pt idx="21">
                  <c:v>5492</c:v>
                </c:pt>
                <c:pt idx="22">
                  <c:v>5492</c:v>
                </c:pt>
                <c:pt idx="23">
                  <c:v>6630</c:v>
                </c:pt>
                <c:pt idx="24">
                  <c:v>10447</c:v>
                </c:pt>
                <c:pt idx="25">
                  <c:v>10615</c:v>
                </c:pt>
                <c:pt idx="26">
                  <c:v>10337</c:v>
                </c:pt>
                <c:pt idx="27">
                  <c:v>8272</c:v>
                </c:pt>
                <c:pt idx="28">
                  <c:v>15331</c:v>
                </c:pt>
                <c:pt idx="29">
                  <c:v>15119</c:v>
                </c:pt>
                <c:pt idx="30">
                  <c:v>16020</c:v>
                </c:pt>
                <c:pt idx="31">
                  <c:v>11020</c:v>
                </c:pt>
                <c:pt idx="32">
                  <c:v>10426</c:v>
                </c:pt>
                <c:pt idx="33">
                  <c:v>11486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6B-4789-ACEB-64C8E1AE17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22384"/>
        <c:axId val="38824304"/>
      </c:scatterChart>
      <c:valAx>
        <c:axId val="38822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824304"/>
        <c:crosses val="autoZero"/>
        <c:crossBetween val="midCat"/>
      </c:valAx>
      <c:valAx>
        <c:axId val="38824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822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STR(minert)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00947767826398"/>
          <c:y val="0.18039323613826527"/>
          <c:w val="0.8397080831368382"/>
          <c:h val="0.72203015828007644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0.18816636747866508"/>
                  <c:y val="-0.4324853501451864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'Raw Data'!$B$2:$B$35</c:f>
              <c:numCache>
                <c:formatCode>General</c:formatCode>
                <c:ptCount val="34"/>
                <c:pt idx="0">
                  <c:v>16194</c:v>
                </c:pt>
                <c:pt idx="1">
                  <c:v>5038.6000000000004</c:v>
                </c:pt>
                <c:pt idx="2">
                  <c:v>60075</c:v>
                </c:pt>
                <c:pt idx="3">
                  <c:v>69298</c:v>
                </c:pt>
                <c:pt idx="4">
                  <c:v>93037</c:v>
                </c:pt>
                <c:pt idx="5">
                  <c:v>44821</c:v>
                </c:pt>
                <c:pt idx="6">
                  <c:v>60935</c:v>
                </c:pt>
                <c:pt idx="7">
                  <c:v>56989</c:v>
                </c:pt>
                <c:pt idx="8">
                  <c:v>45807</c:v>
                </c:pt>
                <c:pt idx="9">
                  <c:v>43803</c:v>
                </c:pt>
                <c:pt idx="10">
                  <c:v>53600</c:v>
                </c:pt>
                <c:pt idx="11">
                  <c:v>54597</c:v>
                </c:pt>
                <c:pt idx="12">
                  <c:v>45862</c:v>
                </c:pt>
                <c:pt idx="13">
                  <c:v>81911</c:v>
                </c:pt>
                <c:pt idx="14">
                  <c:v>42259</c:v>
                </c:pt>
                <c:pt idx="15">
                  <c:v>41830</c:v>
                </c:pt>
                <c:pt idx="16">
                  <c:v>22891</c:v>
                </c:pt>
                <c:pt idx="17">
                  <c:v>23139</c:v>
                </c:pt>
                <c:pt idx="18">
                  <c:v>23164</c:v>
                </c:pt>
                <c:pt idx="19">
                  <c:v>23195</c:v>
                </c:pt>
                <c:pt idx="20">
                  <c:v>23164</c:v>
                </c:pt>
                <c:pt idx="21">
                  <c:v>47518</c:v>
                </c:pt>
                <c:pt idx="22">
                  <c:v>47301</c:v>
                </c:pt>
                <c:pt idx="23">
                  <c:v>19580</c:v>
                </c:pt>
                <c:pt idx="24">
                  <c:v>45000</c:v>
                </c:pt>
                <c:pt idx="25">
                  <c:v>45001</c:v>
                </c:pt>
                <c:pt idx="26">
                  <c:v>44999</c:v>
                </c:pt>
                <c:pt idx="27">
                  <c:v>53643</c:v>
                </c:pt>
                <c:pt idx="28">
                  <c:v>49972</c:v>
                </c:pt>
                <c:pt idx="29">
                  <c:v>49972</c:v>
                </c:pt>
                <c:pt idx="30">
                  <c:v>50005</c:v>
                </c:pt>
                <c:pt idx="31">
                  <c:v>49971</c:v>
                </c:pt>
                <c:pt idx="32">
                  <c:v>49972</c:v>
                </c:pt>
                <c:pt idx="33">
                  <c:v>44353</c:v>
                </c:pt>
              </c:numCache>
            </c:numRef>
          </c:xVal>
          <c:yVal>
            <c:numRef>
              <c:f>'Raw Data'!$J$2:$J$35</c:f>
              <c:numCache>
                <c:formatCode>General</c:formatCode>
                <c:ptCount val="34"/>
                <c:pt idx="0">
                  <c:v>460</c:v>
                </c:pt>
                <c:pt idx="1">
                  <c:v>504.1</c:v>
                </c:pt>
                <c:pt idx="2">
                  <c:v>1681</c:v>
                </c:pt>
                <c:pt idx="3">
                  <c:v>1955</c:v>
                </c:pt>
                <c:pt idx="4">
                  <c:v>1770</c:v>
                </c:pt>
                <c:pt idx="5">
                  <c:v>2822</c:v>
                </c:pt>
                <c:pt idx="6">
                  <c:v>2015</c:v>
                </c:pt>
                <c:pt idx="7">
                  <c:v>1985</c:v>
                </c:pt>
                <c:pt idx="8">
                  <c:v>1877</c:v>
                </c:pt>
                <c:pt idx="9">
                  <c:v>1860</c:v>
                </c:pt>
                <c:pt idx="10">
                  <c:v>535</c:v>
                </c:pt>
                <c:pt idx="11">
                  <c:v>3757</c:v>
                </c:pt>
                <c:pt idx="12">
                  <c:v>1113</c:v>
                </c:pt>
                <c:pt idx="13">
                  <c:v>2432</c:v>
                </c:pt>
                <c:pt idx="14">
                  <c:v>1011</c:v>
                </c:pt>
                <c:pt idx="15">
                  <c:v>1355</c:v>
                </c:pt>
                <c:pt idx="16">
                  <c:v>451</c:v>
                </c:pt>
                <c:pt idx="17">
                  <c:v>717</c:v>
                </c:pt>
                <c:pt idx="18">
                  <c:v>451</c:v>
                </c:pt>
                <c:pt idx="19">
                  <c:v>717</c:v>
                </c:pt>
                <c:pt idx="20">
                  <c:v>451</c:v>
                </c:pt>
                <c:pt idx="21">
                  <c:v>1017</c:v>
                </c:pt>
                <c:pt idx="22">
                  <c:v>1017</c:v>
                </c:pt>
                <c:pt idx="23">
                  <c:v>1150</c:v>
                </c:pt>
                <c:pt idx="24">
                  <c:v>1932</c:v>
                </c:pt>
                <c:pt idx="25">
                  <c:v>2203</c:v>
                </c:pt>
                <c:pt idx="26">
                  <c:v>2289</c:v>
                </c:pt>
                <c:pt idx="27">
                  <c:v>1113</c:v>
                </c:pt>
                <c:pt idx="28">
                  <c:v>4545</c:v>
                </c:pt>
                <c:pt idx="29">
                  <c:v>4430</c:v>
                </c:pt>
                <c:pt idx="30">
                  <c:v>6565</c:v>
                </c:pt>
                <c:pt idx="31">
                  <c:v>1856</c:v>
                </c:pt>
                <c:pt idx="32">
                  <c:v>1638</c:v>
                </c:pt>
                <c:pt idx="33">
                  <c:v>4939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203-4B6B-B011-B4B1DA2DBA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3453680"/>
        <c:axId val="1883455120"/>
      </c:scatterChart>
      <c:valAx>
        <c:axId val="1883453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83455120"/>
        <c:crosses val="autoZero"/>
        <c:crossBetween val="midCat"/>
      </c:valAx>
      <c:valAx>
        <c:axId val="188345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83453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E"/>
              <a:t>Power ss mass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8.0402282539725575E-2"/>
                  <c:y val="-0.4053296797019869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('Raw Data'!$T$2,'Raw Data'!$T$4,'Raw Data'!$T$7,'Raw Data'!$T$8,'Raw Data'!$T$10,'Raw Data'!$T$15,'Raw Data'!$T$16,'Raw Data'!$T$25)</c:f>
              <c:numCache>
                <c:formatCode>General</c:formatCode>
                <c:ptCount val="8"/>
                <c:pt idx="0">
                  <c:v>8.4</c:v>
                </c:pt>
                <c:pt idx="1">
                  <c:v>144</c:v>
                </c:pt>
                <c:pt idx="2">
                  <c:v>480</c:v>
                </c:pt>
                <c:pt idx="3">
                  <c:v>225.60000000000002</c:v>
                </c:pt>
                <c:pt idx="4">
                  <c:v>507.6</c:v>
                </c:pt>
                <c:pt idx="5">
                  <c:v>432</c:v>
                </c:pt>
                <c:pt idx="6">
                  <c:v>756</c:v>
                </c:pt>
                <c:pt idx="7">
                  <c:v>84</c:v>
                </c:pt>
              </c:numCache>
            </c:numRef>
          </c:xVal>
          <c:yVal>
            <c:numRef>
              <c:f>('Raw Data'!$L$2,'Raw Data'!$L$4,'Raw Data'!$L$7,'Raw Data'!$L$8,'Raw Data'!$L$10,'Raw Data'!$L$15,'Raw Data'!$L$16,'Raw Data'!$L$25)</c:f>
              <c:numCache>
                <c:formatCode>General</c:formatCode>
                <c:ptCount val="8"/>
                <c:pt idx="0">
                  <c:v>366</c:v>
                </c:pt>
                <c:pt idx="1">
                  <c:v>478</c:v>
                </c:pt>
                <c:pt idx="2">
                  <c:v>204</c:v>
                </c:pt>
                <c:pt idx="3">
                  <c:v>553</c:v>
                </c:pt>
                <c:pt idx="4">
                  <c:v>553</c:v>
                </c:pt>
                <c:pt idx="5">
                  <c:v>336</c:v>
                </c:pt>
                <c:pt idx="6">
                  <c:v>306</c:v>
                </c:pt>
                <c:pt idx="7">
                  <c:v>630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0F-487B-A4B0-03EF2240D6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22384"/>
        <c:axId val="38824304"/>
      </c:scatterChart>
      <c:valAx>
        <c:axId val="38822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824304"/>
        <c:crosses val="autoZero"/>
        <c:crossBetween val="midCat"/>
      </c:valAx>
      <c:valAx>
        <c:axId val="38824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822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E"/>
              <a:t>Power vs Thermal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8.0402282539725575E-2"/>
                  <c:y val="-0.4053296797019869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'Raw Data'!$M$2:$M$35</c:f>
              <c:numCache>
                <c:formatCode>General</c:formatCode>
                <c:ptCount val="34"/>
                <c:pt idx="0">
                  <c:v>29</c:v>
                </c:pt>
                <c:pt idx="1">
                  <c:v>120.1</c:v>
                </c:pt>
                <c:pt idx="2">
                  <c:v>934</c:v>
                </c:pt>
                <c:pt idx="3">
                  <c:v>1062</c:v>
                </c:pt>
                <c:pt idx="4">
                  <c:v>307</c:v>
                </c:pt>
                <c:pt idx="5">
                  <c:v>817</c:v>
                </c:pt>
                <c:pt idx="6">
                  <c:v>594</c:v>
                </c:pt>
                <c:pt idx="7">
                  <c:v>594</c:v>
                </c:pt>
                <c:pt idx="8">
                  <c:v>594</c:v>
                </c:pt>
                <c:pt idx="9">
                  <c:v>594</c:v>
                </c:pt>
                <c:pt idx="10">
                  <c:v>731</c:v>
                </c:pt>
                <c:pt idx="11">
                  <c:v>199</c:v>
                </c:pt>
                <c:pt idx="12">
                  <c:v>69</c:v>
                </c:pt>
                <c:pt idx="13">
                  <c:v>145</c:v>
                </c:pt>
                <c:pt idx="14">
                  <c:v>69</c:v>
                </c:pt>
                <c:pt idx="15">
                  <c:v>69</c:v>
                </c:pt>
                <c:pt idx="16">
                  <c:v>69</c:v>
                </c:pt>
                <c:pt idx="17">
                  <c:v>69</c:v>
                </c:pt>
                <c:pt idx="18">
                  <c:v>69</c:v>
                </c:pt>
                <c:pt idx="19">
                  <c:v>69</c:v>
                </c:pt>
                <c:pt idx="20">
                  <c:v>69</c:v>
                </c:pt>
                <c:pt idx="21">
                  <c:v>69</c:v>
                </c:pt>
                <c:pt idx="22">
                  <c:v>69</c:v>
                </c:pt>
                <c:pt idx="23">
                  <c:v>80</c:v>
                </c:pt>
                <c:pt idx="24">
                  <c:v>306</c:v>
                </c:pt>
                <c:pt idx="25">
                  <c:v>306</c:v>
                </c:pt>
                <c:pt idx="26">
                  <c:v>354</c:v>
                </c:pt>
                <c:pt idx="27">
                  <c:v>69</c:v>
                </c:pt>
                <c:pt idx="28">
                  <c:v>441</c:v>
                </c:pt>
                <c:pt idx="29">
                  <c:v>441</c:v>
                </c:pt>
                <c:pt idx="30">
                  <c:v>441</c:v>
                </c:pt>
                <c:pt idx="31">
                  <c:v>441</c:v>
                </c:pt>
                <c:pt idx="32">
                  <c:v>441</c:v>
                </c:pt>
                <c:pt idx="33">
                  <c:v>263</c:v>
                </c:pt>
              </c:numCache>
            </c:numRef>
          </c:xVal>
          <c:yVal>
            <c:numRef>
              <c:f>'Raw Data'!$L$2:$L$35</c:f>
              <c:numCache>
                <c:formatCode>General</c:formatCode>
                <c:ptCount val="34"/>
                <c:pt idx="0">
                  <c:v>366</c:v>
                </c:pt>
                <c:pt idx="1">
                  <c:v>125.7</c:v>
                </c:pt>
                <c:pt idx="2">
                  <c:v>478</c:v>
                </c:pt>
                <c:pt idx="3">
                  <c:v>478</c:v>
                </c:pt>
                <c:pt idx="4">
                  <c:v>385</c:v>
                </c:pt>
                <c:pt idx="5">
                  <c:v>204</c:v>
                </c:pt>
                <c:pt idx="6">
                  <c:v>553</c:v>
                </c:pt>
                <c:pt idx="7">
                  <c:v>553</c:v>
                </c:pt>
                <c:pt idx="8">
                  <c:v>553</c:v>
                </c:pt>
                <c:pt idx="9">
                  <c:v>553</c:v>
                </c:pt>
                <c:pt idx="10">
                  <c:v>909</c:v>
                </c:pt>
                <c:pt idx="11">
                  <c:v>400</c:v>
                </c:pt>
                <c:pt idx="12">
                  <c:v>468</c:v>
                </c:pt>
                <c:pt idx="13">
                  <c:v>336</c:v>
                </c:pt>
                <c:pt idx="14">
                  <c:v>306</c:v>
                </c:pt>
                <c:pt idx="15">
                  <c:v>306</c:v>
                </c:pt>
                <c:pt idx="16">
                  <c:v>306</c:v>
                </c:pt>
                <c:pt idx="17">
                  <c:v>306</c:v>
                </c:pt>
                <c:pt idx="18">
                  <c:v>306</c:v>
                </c:pt>
                <c:pt idx="19">
                  <c:v>306</c:v>
                </c:pt>
                <c:pt idx="20">
                  <c:v>306</c:v>
                </c:pt>
                <c:pt idx="21">
                  <c:v>306</c:v>
                </c:pt>
                <c:pt idx="22">
                  <c:v>306</c:v>
                </c:pt>
                <c:pt idx="23">
                  <c:v>630</c:v>
                </c:pt>
                <c:pt idx="24">
                  <c:v>468</c:v>
                </c:pt>
                <c:pt idx="25">
                  <c:v>468</c:v>
                </c:pt>
                <c:pt idx="26">
                  <c:v>468</c:v>
                </c:pt>
                <c:pt idx="27">
                  <c:v>468</c:v>
                </c:pt>
                <c:pt idx="28">
                  <c:v>934</c:v>
                </c:pt>
                <c:pt idx="29">
                  <c:v>934</c:v>
                </c:pt>
                <c:pt idx="30">
                  <c:v>934</c:v>
                </c:pt>
                <c:pt idx="31">
                  <c:v>934</c:v>
                </c:pt>
                <c:pt idx="32">
                  <c:v>934</c:v>
                </c:pt>
                <c:pt idx="33">
                  <c:v>1563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659-404D-B2D5-A13C34FFC8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22384"/>
        <c:axId val="38824304"/>
      </c:scatterChart>
      <c:valAx>
        <c:axId val="38822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AVIO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824304"/>
        <c:crosses val="autoZero"/>
        <c:crossBetween val="midCat"/>
      </c:valAx>
      <c:valAx>
        <c:axId val="38824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822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STR(md)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4448846203837504"/>
          <c:y val="0.17585410895660208"/>
          <c:w val="0.80641630158277655"/>
          <c:h val="0.6715597921216488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0.20233129410633907"/>
                  <c:y val="-0.3691827750712166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'outliers removed'!$C$2:$C$28</c:f>
              <c:numCache>
                <c:formatCode>General</c:formatCode>
                <c:ptCount val="27"/>
                <c:pt idx="0">
                  <c:v>2373</c:v>
                </c:pt>
                <c:pt idx="1">
                  <c:v>1171.9000000000001</c:v>
                </c:pt>
                <c:pt idx="2">
                  <c:v>9823</c:v>
                </c:pt>
                <c:pt idx="3">
                  <c:v>7899</c:v>
                </c:pt>
                <c:pt idx="4">
                  <c:v>12992</c:v>
                </c:pt>
                <c:pt idx="5">
                  <c:v>11508</c:v>
                </c:pt>
                <c:pt idx="6">
                  <c:v>11334</c:v>
                </c:pt>
                <c:pt idx="7">
                  <c:v>9167</c:v>
                </c:pt>
                <c:pt idx="8">
                  <c:v>9077</c:v>
                </c:pt>
                <c:pt idx="9">
                  <c:v>7655</c:v>
                </c:pt>
                <c:pt idx="10">
                  <c:v>9874</c:v>
                </c:pt>
                <c:pt idx="11">
                  <c:v>5472</c:v>
                </c:pt>
                <c:pt idx="12">
                  <c:v>7684</c:v>
                </c:pt>
                <c:pt idx="13">
                  <c:v>3106</c:v>
                </c:pt>
                <c:pt idx="14">
                  <c:v>4532</c:v>
                </c:pt>
                <c:pt idx="15">
                  <c:v>3106</c:v>
                </c:pt>
                <c:pt idx="16">
                  <c:v>4532</c:v>
                </c:pt>
                <c:pt idx="17">
                  <c:v>3106</c:v>
                </c:pt>
                <c:pt idx="18">
                  <c:v>5492</c:v>
                </c:pt>
                <c:pt idx="19">
                  <c:v>5492</c:v>
                </c:pt>
                <c:pt idx="20">
                  <c:v>6630</c:v>
                </c:pt>
                <c:pt idx="21">
                  <c:v>10447</c:v>
                </c:pt>
                <c:pt idx="22">
                  <c:v>10615</c:v>
                </c:pt>
                <c:pt idx="23">
                  <c:v>10337</c:v>
                </c:pt>
                <c:pt idx="24">
                  <c:v>8272</c:v>
                </c:pt>
                <c:pt idx="25">
                  <c:v>11020</c:v>
                </c:pt>
                <c:pt idx="26">
                  <c:v>10426</c:v>
                </c:pt>
              </c:numCache>
            </c:numRef>
          </c:xVal>
          <c:yVal>
            <c:numRef>
              <c:f>'outliers removed'!$J$2:$J$28</c:f>
              <c:numCache>
                <c:formatCode>General</c:formatCode>
                <c:ptCount val="27"/>
                <c:pt idx="0">
                  <c:v>460</c:v>
                </c:pt>
                <c:pt idx="1">
                  <c:v>504.1</c:v>
                </c:pt>
                <c:pt idx="2">
                  <c:v>1681</c:v>
                </c:pt>
                <c:pt idx="3">
                  <c:v>1955</c:v>
                </c:pt>
                <c:pt idx="4">
                  <c:v>1770</c:v>
                </c:pt>
                <c:pt idx="5">
                  <c:v>2015</c:v>
                </c:pt>
                <c:pt idx="6">
                  <c:v>1985</c:v>
                </c:pt>
                <c:pt idx="7">
                  <c:v>1877</c:v>
                </c:pt>
                <c:pt idx="8">
                  <c:v>1860</c:v>
                </c:pt>
                <c:pt idx="9">
                  <c:v>1113</c:v>
                </c:pt>
                <c:pt idx="10">
                  <c:v>2432</c:v>
                </c:pt>
                <c:pt idx="11">
                  <c:v>1011</c:v>
                </c:pt>
                <c:pt idx="12">
                  <c:v>1355</c:v>
                </c:pt>
                <c:pt idx="13">
                  <c:v>451</c:v>
                </c:pt>
                <c:pt idx="14">
                  <c:v>717</c:v>
                </c:pt>
                <c:pt idx="15">
                  <c:v>451</c:v>
                </c:pt>
                <c:pt idx="16">
                  <c:v>717</c:v>
                </c:pt>
                <c:pt idx="17">
                  <c:v>451</c:v>
                </c:pt>
                <c:pt idx="18">
                  <c:v>1017</c:v>
                </c:pt>
                <c:pt idx="19">
                  <c:v>1017</c:v>
                </c:pt>
                <c:pt idx="20">
                  <c:v>1150</c:v>
                </c:pt>
                <c:pt idx="21">
                  <c:v>1932</c:v>
                </c:pt>
                <c:pt idx="22">
                  <c:v>2203</c:v>
                </c:pt>
                <c:pt idx="23">
                  <c:v>2289</c:v>
                </c:pt>
                <c:pt idx="24">
                  <c:v>1113</c:v>
                </c:pt>
                <c:pt idx="25">
                  <c:v>1856</c:v>
                </c:pt>
                <c:pt idx="26">
                  <c:v>1638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CA3-4822-A4D3-4E883B88FF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3453680"/>
        <c:axId val="1883455120"/>
      </c:scatterChart>
      <c:valAx>
        <c:axId val="1883453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Dry mass [kg]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150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83455120"/>
        <c:crosses val="autoZero"/>
        <c:crossBetween val="midCat"/>
      </c:valAx>
      <c:valAx>
        <c:axId val="188345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Structural Mass [kg]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150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83453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THER(md)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4448846203837504"/>
          <c:y val="0.17585410895660208"/>
          <c:w val="0.80641630158277655"/>
          <c:h val="0.6715597921216488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6.7111719328846631E-2"/>
                  <c:y val="-0.4516749847775967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'outliers removed'!$C$2:$C$28</c:f>
              <c:numCache>
                <c:formatCode>General</c:formatCode>
                <c:ptCount val="27"/>
                <c:pt idx="0">
                  <c:v>2373</c:v>
                </c:pt>
                <c:pt idx="1">
                  <c:v>1171.9000000000001</c:v>
                </c:pt>
                <c:pt idx="2">
                  <c:v>9823</c:v>
                </c:pt>
                <c:pt idx="3">
                  <c:v>7899</c:v>
                </c:pt>
                <c:pt idx="4">
                  <c:v>12992</c:v>
                </c:pt>
                <c:pt idx="5">
                  <c:v>11508</c:v>
                </c:pt>
                <c:pt idx="6">
                  <c:v>11334</c:v>
                </c:pt>
                <c:pt idx="7">
                  <c:v>9167</c:v>
                </c:pt>
                <c:pt idx="8">
                  <c:v>9077</c:v>
                </c:pt>
                <c:pt idx="9">
                  <c:v>7655</c:v>
                </c:pt>
                <c:pt idx="10">
                  <c:v>9874</c:v>
                </c:pt>
                <c:pt idx="11">
                  <c:v>5472</c:v>
                </c:pt>
                <c:pt idx="12">
                  <c:v>7684</c:v>
                </c:pt>
                <c:pt idx="13">
                  <c:v>3106</c:v>
                </c:pt>
                <c:pt idx="14">
                  <c:v>4532</c:v>
                </c:pt>
                <c:pt idx="15">
                  <c:v>3106</c:v>
                </c:pt>
                <c:pt idx="16">
                  <c:v>4532</c:v>
                </c:pt>
                <c:pt idx="17">
                  <c:v>3106</c:v>
                </c:pt>
                <c:pt idx="18">
                  <c:v>5492</c:v>
                </c:pt>
                <c:pt idx="19">
                  <c:v>5492</c:v>
                </c:pt>
                <c:pt idx="20">
                  <c:v>6630</c:v>
                </c:pt>
                <c:pt idx="21">
                  <c:v>10447</c:v>
                </c:pt>
                <c:pt idx="22">
                  <c:v>10615</c:v>
                </c:pt>
                <c:pt idx="23">
                  <c:v>10337</c:v>
                </c:pt>
                <c:pt idx="24">
                  <c:v>8272</c:v>
                </c:pt>
                <c:pt idx="25">
                  <c:v>11020</c:v>
                </c:pt>
                <c:pt idx="26">
                  <c:v>10426</c:v>
                </c:pt>
              </c:numCache>
            </c:numRef>
          </c:xVal>
          <c:yVal>
            <c:numRef>
              <c:f>'outliers removed'!$N$2:$N$28</c:f>
              <c:numCache>
                <c:formatCode>General</c:formatCode>
                <c:ptCount val="27"/>
                <c:pt idx="0">
                  <c:v>404</c:v>
                </c:pt>
                <c:pt idx="1">
                  <c:v>113.5</c:v>
                </c:pt>
                <c:pt idx="2">
                  <c:v>2017</c:v>
                </c:pt>
                <c:pt idx="3">
                  <c:v>1006</c:v>
                </c:pt>
                <c:pt idx="4">
                  <c:v>420</c:v>
                </c:pt>
                <c:pt idx="5">
                  <c:v>1072</c:v>
                </c:pt>
                <c:pt idx="6">
                  <c:v>1066</c:v>
                </c:pt>
                <c:pt idx="7">
                  <c:v>1049</c:v>
                </c:pt>
                <c:pt idx="8">
                  <c:v>1046</c:v>
                </c:pt>
                <c:pt idx="9">
                  <c:v>369</c:v>
                </c:pt>
                <c:pt idx="10">
                  <c:v>1168</c:v>
                </c:pt>
                <c:pt idx="11">
                  <c:v>286</c:v>
                </c:pt>
                <c:pt idx="12">
                  <c:v>265</c:v>
                </c:pt>
                <c:pt idx="13">
                  <c:v>210</c:v>
                </c:pt>
                <c:pt idx="14">
                  <c:v>219</c:v>
                </c:pt>
                <c:pt idx="15">
                  <c:v>210</c:v>
                </c:pt>
                <c:pt idx="16">
                  <c:v>219</c:v>
                </c:pt>
                <c:pt idx="17">
                  <c:v>210</c:v>
                </c:pt>
                <c:pt idx="18">
                  <c:v>286</c:v>
                </c:pt>
                <c:pt idx="19">
                  <c:v>286</c:v>
                </c:pt>
                <c:pt idx="20">
                  <c:v>800</c:v>
                </c:pt>
                <c:pt idx="21">
                  <c:v>1207</c:v>
                </c:pt>
                <c:pt idx="22">
                  <c:v>1192</c:v>
                </c:pt>
                <c:pt idx="23">
                  <c:v>1192</c:v>
                </c:pt>
                <c:pt idx="24">
                  <c:v>369</c:v>
                </c:pt>
                <c:pt idx="25">
                  <c:v>336</c:v>
                </c:pt>
                <c:pt idx="26">
                  <c:v>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13A-4253-A667-184AB18258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3453680"/>
        <c:axId val="1883455120"/>
      </c:scatterChart>
      <c:valAx>
        <c:axId val="1883453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Dry mass [kg]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150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83455120"/>
        <c:crosses val="autoZero"/>
        <c:crossBetween val="midCat"/>
      </c:valAx>
      <c:valAx>
        <c:axId val="188345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THER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150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83453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THER(md)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4448846203837504"/>
          <c:y val="0.17585410895660208"/>
          <c:w val="0.80641630158277655"/>
          <c:h val="0.6715597921216488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6.7111719328846631E-2"/>
                  <c:y val="-0.4516749847775967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'outliers removed'!$L$2:$L$28</c:f>
              <c:numCache>
                <c:formatCode>General</c:formatCode>
                <c:ptCount val="27"/>
                <c:pt idx="0">
                  <c:v>366</c:v>
                </c:pt>
                <c:pt idx="1">
                  <c:v>125.7</c:v>
                </c:pt>
                <c:pt idx="2">
                  <c:v>478</c:v>
                </c:pt>
                <c:pt idx="3">
                  <c:v>478</c:v>
                </c:pt>
                <c:pt idx="4">
                  <c:v>385</c:v>
                </c:pt>
                <c:pt idx="5">
                  <c:v>553</c:v>
                </c:pt>
                <c:pt idx="6">
                  <c:v>553</c:v>
                </c:pt>
                <c:pt idx="7">
                  <c:v>553</c:v>
                </c:pt>
                <c:pt idx="8">
                  <c:v>553</c:v>
                </c:pt>
                <c:pt idx="9">
                  <c:v>468</c:v>
                </c:pt>
                <c:pt idx="10">
                  <c:v>336</c:v>
                </c:pt>
                <c:pt idx="11">
                  <c:v>306</c:v>
                </c:pt>
                <c:pt idx="12">
                  <c:v>306</c:v>
                </c:pt>
                <c:pt idx="13">
                  <c:v>306</c:v>
                </c:pt>
                <c:pt idx="14">
                  <c:v>306</c:v>
                </c:pt>
                <c:pt idx="15">
                  <c:v>306</c:v>
                </c:pt>
                <c:pt idx="16">
                  <c:v>306</c:v>
                </c:pt>
                <c:pt idx="17">
                  <c:v>306</c:v>
                </c:pt>
                <c:pt idx="18">
                  <c:v>306</c:v>
                </c:pt>
                <c:pt idx="19">
                  <c:v>306</c:v>
                </c:pt>
                <c:pt idx="20">
                  <c:v>630</c:v>
                </c:pt>
                <c:pt idx="21">
                  <c:v>468</c:v>
                </c:pt>
                <c:pt idx="22">
                  <c:v>468</c:v>
                </c:pt>
                <c:pt idx="23">
                  <c:v>468</c:v>
                </c:pt>
                <c:pt idx="24">
                  <c:v>468</c:v>
                </c:pt>
                <c:pt idx="25">
                  <c:v>934</c:v>
                </c:pt>
                <c:pt idx="26">
                  <c:v>934</c:v>
                </c:pt>
              </c:numCache>
            </c:numRef>
          </c:xVal>
          <c:yVal>
            <c:numRef>
              <c:f>'outliers removed'!$N$2:$N$28</c:f>
              <c:numCache>
                <c:formatCode>General</c:formatCode>
                <c:ptCount val="27"/>
                <c:pt idx="0">
                  <c:v>404</c:v>
                </c:pt>
                <c:pt idx="1">
                  <c:v>113.5</c:v>
                </c:pt>
                <c:pt idx="2">
                  <c:v>2017</c:v>
                </c:pt>
                <c:pt idx="3">
                  <c:v>1006</c:v>
                </c:pt>
                <c:pt idx="4">
                  <c:v>420</c:v>
                </c:pt>
                <c:pt idx="5">
                  <c:v>1072</c:v>
                </c:pt>
                <c:pt idx="6">
                  <c:v>1066</c:v>
                </c:pt>
                <c:pt idx="7">
                  <c:v>1049</c:v>
                </c:pt>
                <c:pt idx="8">
                  <c:v>1046</c:v>
                </c:pt>
                <c:pt idx="9">
                  <c:v>369</c:v>
                </c:pt>
                <c:pt idx="10">
                  <c:v>1168</c:v>
                </c:pt>
                <c:pt idx="11">
                  <c:v>286</c:v>
                </c:pt>
                <c:pt idx="12">
                  <c:v>265</c:v>
                </c:pt>
                <c:pt idx="13">
                  <c:v>210</c:v>
                </c:pt>
                <c:pt idx="14">
                  <c:v>219</c:v>
                </c:pt>
                <c:pt idx="15">
                  <c:v>210</c:v>
                </c:pt>
                <c:pt idx="16">
                  <c:v>219</c:v>
                </c:pt>
                <c:pt idx="17">
                  <c:v>210</c:v>
                </c:pt>
                <c:pt idx="18">
                  <c:v>286</c:v>
                </c:pt>
                <c:pt idx="19">
                  <c:v>286</c:v>
                </c:pt>
                <c:pt idx="20">
                  <c:v>800</c:v>
                </c:pt>
                <c:pt idx="21">
                  <c:v>1207</c:v>
                </c:pt>
                <c:pt idx="22">
                  <c:v>1192</c:v>
                </c:pt>
                <c:pt idx="23">
                  <c:v>1192</c:v>
                </c:pt>
                <c:pt idx="24">
                  <c:v>369</c:v>
                </c:pt>
                <c:pt idx="25">
                  <c:v>336</c:v>
                </c:pt>
                <c:pt idx="26">
                  <c:v>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8AB-486E-8757-5AF0657285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3453680"/>
        <c:axId val="1883455120"/>
      </c:scatterChart>
      <c:valAx>
        <c:axId val="1883453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POW</a:t>
                </a:r>
                <a:r>
                  <a:rPr lang="fr-FR" baseline="0"/>
                  <a:t> [kg]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83455120"/>
        <c:crosses val="autoZero"/>
        <c:crossBetween val="midCat"/>
      </c:valAx>
      <c:valAx>
        <c:axId val="188345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THER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150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83453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total mass spreads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fr-F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total mass spreads</a:t>
          </a:r>
        </a:p>
      </cx:txPr>
    </cx:title>
    <cx:plotArea>
      <cx:plotAreaRegion>
        <cx:series layoutId="clusteredColumn" uniqueId="{00000001-A623-4CA9-874E-DADECEAF5388}">
          <cx:tx>
            <cx:txData>
              <cx:f/>
              <cx:v>total masses</cx:v>
            </cx:txData>
          </cx:tx>
          <cx:dataId val="0"/>
          <cx:layoutPr>
            <cx:binning intervalClosed="r">
              <cx:binCount val="8"/>
            </cx:binning>
          </cx:layoutPr>
        </cx:series>
      </cx:plotAreaRegion>
      <cx:axis id="0">
        <cx:catScaling gapWidth="0"/>
        <cx:tickLabels/>
        <cx:numFmt formatCode="#,##0" sourceLinked="0"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structural mass spreads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fr-F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structural mass spreads</a:t>
          </a:r>
        </a:p>
      </cx:txPr>
    </cx:title>
    <cx:plotArea>
      <cx:plotAreaRegion>
        <cx:series layoutId="clusteredColumn" uniqueId="{00000001-A623-4CA9-874E-DADECEAF5388}">
          <cx:tx>
            <cx:txData>
              <cx:f/>
              <cx:v>total masses</cx:v>
            </cx:txData>
          </cx:tx>
          <cx:dataId val="0"/>
          <cx:layoutPr>
            <cx:binning intervalClosed="r">
              <cx:binCount val="8"/>
            </cx:binning>
          </cx:layoutPr>
        </cx:series>
      </cx:plotAreaRegion>
      <cx:axis id="0">
        <cx:catScaling gapWidth="0"/>
        <cx:tickLabels/>
        <cx:numFmt formatCode="#,##0" sourceLinked="0"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txData>
          <cx:v>Propulsion mass spreads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fr-F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Propulsion mass spreads</a:t>
          </a:r>
        </a:p>
      </cx:txPr>
    </cx:title>
    <cx:plotArea>
      <cx:plotAreaRegion>
        <cx:series layoutId="clusteredColumn" uniqueId="{00000001-A623-4CA9-874E-DADECEAF5388}">
          <cx:tx>
            <cx:txData>
              <cx:f/>
              <cx:v>total masses</cx:v>
            </cx:txData>
          </cx:tx>
          <cx:dataId val="0"/>
          <cx:layoutPr>
            <cx:binning intervalClosed="r">
              <cx:binCount val="8"/>
            </cx:binning>
          </cx:layoutPr>
        </cx:series>
      </cx:plotAreaRegion>
      <cx:axis id="0">
        <cx:catScaling gapWidth="0"/>
        <cx:tickLabels/>
        <cx:numFmt formatCode="#,##0" sourceLinked="0"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Power mass spreads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fr-F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Power mass spreads</a:t>
          </a:r>
        </a:p>
      </cx:txPr>
    </cx:title>
    <cx:plotArea>
      <cx:plotAreaRegion>
        <cx:series layoutId="clusteredColumn" uniqueId="{00000001-A623-4CA9-874E-DADECEAF5388}">
          <cx:tx>
            <cx:txData>
              <cx:f/>
              <cx:v>total masses</cx:v>
            </cx:txData>
          </cx:tx>
          <cx:dataId val="0"/>
          <cx:layoutPr>
            <cx:binning intervalClosed="r">
              <cx:binCount val="8"/>
            </cx:binning>
          </cx:layoutPr>
        </cx:series>
      </cx:plotAreaRegion>
      <cx:axis id="0">
        <cx:catScaling gapWidth="0"/>
        <cx:tickLabels/>
        <cx:numFmt formatCode="#,##0" sourceLinked="0"/>
      </cx:axis>
      <cx:axis id="1">
        <cx:valScaling/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txData>
          <cx:v>Avionics mass spreads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fr-F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Avionics mass spreads</a:t>
          </a:r>
        </a:p>
      </cx:txPr>
    </cx:title>
    <cx:plotArea>
      <cx:plotAreaRegion>
        <cx:series layoutId="clusteredColumn" uniqueId="{00000001-A623-4CA9-874E-DADECEAF5388}">
          <cx:tx>
            <cx:txData>
              <cx:f/>
              <cx:v>total masses</cx:v>
            </cx:txData>
          </cx:tx>
          <cx:dataId val="0"/>
          <cx:layoutPr>
            <cx:binning intervalClosed="r">
              <cx:binCount val="8"/>
            </cx:binning>
          </cx:layoutPr>
        </cx:series>
      </cx:plotAreaRegion>
      <cx:axis id="0">
        <cx:catScaling gapWidth="0"/>
        <cx:tickLabels/>
        <cx:numFmt formatCode="#,##0" sourceLinked="0"/>
      </cx:axis>
      <cx:axis id="1">
        <cx:valScaling/>
        <cx:majorGridlines/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</cx:chartData>
  <cx:chart>
    <cx:title pos="t" align="ctr" overlay="0">
      <cx:tx>
        <cx:txData>
          <cx:v>Thermal mass spreads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fr-F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Thermal mass spreads</a:t>
          </a:r>
        </a:p>
      </cx:txPr>
    </cx:title>
    <cx:plotArea>
      <cx:plotAreaRegion>
        <cx:series layoutId="clusteredColumn" uniqueId="{00000001-A623-4CA9-874E-DADECEAF5388}">
          <cx:tx>
            <cx:txData>
              <cx:f/>
              <cx:v>total masses</cx:v>
            </cx:txData>
          </cx:tx>
          <cx:dataId val="0"/>
          <cx:layoutPr>
            <cx:binning intervalClosed="r">
              <cx:binCount val="8"/>
            </cx:binning>
          </cx:layoutPr>
        </cx:series>
      </cx:plotAreaRegion>
      <cx:axis id="0">
        <cx:catScaling gapWidth="0"/>
        <cx:tickLabels/>
        <cx:numFmt formatCode="#,##0" sourceLinked="0"/>
      </cx:axis>
      <cx:axis id="1">
        <cx:valScaling/>
        <cx:majorGridlines/>
        <cx:tickLabels/>
      </cx:axis>
    </cx:plotArea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</cx:f>
      </cx:numDim>
    </cx:data>
  </cx:chartData>
  <cx:chart>
    <cx:title pos="t" align="ctr" overlay="0">
      <cx:tx>
        <cx:txData>
          <cx:v>structural mass / inert mass spreads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fr-F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structural mass / inert mass spreads</a:t>
          </a:r>
        </a:p>
      </cx:txPr>
    </cx:title>
    <cx:plotArea>
      <cx:plotAreaRegion>
        <cx:series layoutId="clusteredColumn" uniqueId="{00000001-A623-4CA9-874E-DADECEAF5388}">
          <cx:tx>
            <cx:txData>
              <cx:f/>
              <cx:v>total masses</cx:v>
            </cx:txData>
          </cx:tx>
          <cx:dataId val="0"/>
          <cx:layoutPr>
            <cx:binning intervalClosed="r">
              <cx:binCount val="9"/>
            </cx:binning>
          </cx:layoutPr>
        </cx:series>
      </cx:plotAreaRegion>
      <cx:axis id="0">
        <cx:catScaling gapWidth="0"/>
        <cx:tickLabels/>
        <cx:numFmt formatCode="0%" sourceLinked="0"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microsoft.com/office/2014/relationships/chartEx" Target="../charts/chartEx3.xml"/><Relationship Id="rId18" Type="http://schemas.openxmlformats.org/officeDocument/2006/relationships/chart" Target="../charts/chart11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microsoft.com/office/2014/relationships/chartEx" Target="../charts/chartEx2.xml"/><Relationship Id="rId17" Type="http://schemas.microsoft.com/office/2014/relationships/chartEx" Target="../charts/chartEx7.xml"/><Relationship Id="rId2" Type="http://schemas.openxmlformats.org/officeDocument/2006/relationships/chart" Target="../charts/chart2.xml"/><Relationship Id="rId16" Type="http://schemas.microsoft.com/office/2014/relationships/chartEx" Target="../charts/chartEx6.xml"/><Relationship Id="rId20" Type="http://schemas.openxmlformats.org/officeDocument/2006/relationships/chart" Target="../charts/chart13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microsoft.com/office/2014/relationships/chartEx" Target="../charts/chartEx1.xml"/><Relationship Id="rId5" Type="http://schemas.openxmlformats.org/officeDocument/2006/relationships/chart" Target="../charts/chart5.xml"/><Relationship Id="rId15" Type="http://schemas.microsoft.com/office/2014/relationships/chartEx" Target="../charts/chartEx5.xml"/><Relationship Id="rId10" Type="http://schemas.openxmlformats.org/officeDocument/2006/relationships/chart" Target="../charts/chart10.xml"/><Relationship Id="rId19" Type="http://schemas.openxmlformats.org/officeDocument/2006/relationships/chart" Target="../charts/chart12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microsoft.com/office/2014/relationships/chartEx" Target="../charts/chartEx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195320</xdr:colOff>
      <xdr:row>36</xdr:row>
      <xdr:rowOff>12553</xdr:rowOff>
    </xdr:from>
    <xdr:to>
      <xdr:col>6</xdr:col>
      <xdr:colOff>653457</xdr:colOff>
      <xdr:row>51</xdr:row>
      <xdr:rowOff>50017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B63D3629-3273-873A-EA9D-2049A6BA0D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53</xdr:row>
      <xdr:rowOff>114300</xdr:rowOff>
    </xdr:from>
    <xdr:to>
      <xdr:col>6</xdr:col>
      <xdr:colOff>672465</xdr:colOff>
      <xdr:row>68</xdr:row>
      <xdr:rowOff>139065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A9C6D180-D0A1-41BE-8946-4EC2BF051C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28575</xdr:colOff>
      <xdr:row>36</xdr:row>
      <xdr:rowOff>66675</xdr:rowOff>
    </xdr:from>
    <xdr:to>
      <xdr:col>13</xdr:col>
      <xdr:colOff>114300</xdr:colOff>
      <xdr:row>51</xdr:row>
      <xdr:rowOff>87630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E46E5C16-1F20-4697-8FF5-A3DE152711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53</xdr:row>
      <xdr:rowOff>0</xdr:rowOff>
    </xdr:from>
    <xdr:to>
      <xdr:col>13</xdr:col>
      <xdr:colOff>89535</xdr:colOff>
      <xdr:row>68</xdr:row>
      <xdr:rowOff>32385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53CCDFB0-8E1D-4C78-A210-012D4F3885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211455</xdr:colOff>
      <xdr:row>70</xdr:row>
      <xdr:rowOff>102870</xdr:rowOff>
    </xdr:from>
    <xdr:to>
      <xdr:col>6</xdr:col>
      <xdr:colOff>678180</xdr:colOff>
      <xdr:row>85</xdr:row>
      <xdr:rowOff>135255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EC6DADDB-27B6-45A0-87D2-24C8F7DB09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85725</xdr:colOff>
      <xdr:row>70</xdr:row>
      <xdr:rowOff>125730</xdr:rowOff>
    </xdr:from>
    <xdr:to>
      <xdr:col>13</xdr:col>
      <xdr:colOff>186690</xdr:colOff>
      <xdr:row>85</xdr:row>
      <xdr:rowOff>142875</xdr:rowOff>
    </xdr:to>
    <xdr:graphicFrame macro="">
      <xdr:nvGraphicFramePr>
        <xdr:cNvPr id="11" name="Graphique 10">
          <a:extLst>
            <a:ext uri="{FF2B5EF4-FFF2-40B4-BE49-F238E27FC236}">
              <a16:creationId xmlns:a16="http://schemas.microsoft.com/office/drawing/2014/main" id="{0832CB65-7B39-4AAB-A1CF-F4B92B6E98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230505</xdr:colOff>
      <xdr:row>88</xdr:row>
      <xdr:rowOff>19050</xdr:rowOff>
    </xdr:from>
    <xdr:to>
      <xdr:col>6</xdr:col>
      <xdr:colOff>693420</xdr:colOff>
      <xdr:row>103</xdr:row>
      <xdr:rowOff>28575</xdr:rowOff>
    </xdr:to>
    <xdr:graphicFrame macro="">
      <xdr:nvGraphicFramePr>
        <xdr:cNvPr id="12" name="Graphique 11">
          <a:extLst>
            <a:ext uri="{FF2B5EF4-FFF2-40B4-BE49-F238E27FC236}">
              <a16:creationId xmlns:a16="http://schemas.microsoft.com/office/drawing/2014/main" id="{1D3677FC-9433-4D5B-88EF-DDF48FB1D8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363855</xdr:colOff>
      <xdr:row>87</xdr:row>
      <xdr:rowOff>152400</xdr:rowOff>
    </xdr:from>
    <xdr:to>
      <xdr:col>13</xdr:col>
      <xdr:colOff>449580</xdr:colOff>
      <xdr:row>102</xdr:row>
      <xdr:rowOff>161925</xdr:rowOff>
    </xdr:to>
    <xdr:graphicFrame macro="">
      <xdr:nvGraphicFramePr>
        <xdr:cNvPr id="13" name="Graphique 12">
          <a:extLst>
            <a:ext uri="{FF2B5EF4-FFF2-40B4-BE49-F238E27FC236}">
              <a16:creationId xmlns:a16="http://schemas.microsoft.com/office/drawing/2014/main" id="{FC516211-A037-4D70-A06C-6EFDB38A7C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0</xdr:colOff>
      <xdr:row>104</xdr:row>
      <xdr:rowOff>108857</xdr:rowOff>
    </xdr:from>
    <xdr:to>
      <xdr:col>6</xdr:col>
      <xdr:colOff>447403</xdr:colOff>
      <xdr:row>119</xdr:row>
      <xdr:rowOff>127907</xdr:rowOff>
    </xdr:to>
    <xdr:graphicFrame macro="">
      <xdr:nvGraphicFramePr>
        <xdr:cNvPr id="14" name="Graphique 13">
          <a:extLst>
            <a:ext uri="{FF2B5EF4-FFF2-40B4-BE49-F238E27FC236}">
              <a16:creationId xmlns:a16="http://schemas.microsoft.com/office/drawing/2014/main" id="{4F30F882-1D04-41C3-AAA4-0EA18362FC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14</xdr:col>
      <xdr:colOff>145116</xdr:colOff>
      <xdr:row>39</xdr:row>
      <xdr:rowOff>64483</xdr:rowOff>
    </xdr:from>
    <xdr:to>
      <xdr:col>20</xdr:col>
      <xdr:colOff>386689</xdr:colOff>
      <xdr:row>54</xdr:row>
      <xdr:rowOff>28287</xdr:rowOff>
    </xdr:to>
    <xdr:graphicFrame macro="">
      <xdr:nvGraphicFramePr>
        <xdr:cNvPr id="15" name="Graphique 14">
          <a:extLst>
            <a:ext uri="{FF2B5EF4-FFF2-40B4-BE49-F238E27FC236}">
              <a16:creationId xmlns:a16="http://schemas.microsoft.com/office/drawing/2014/main" id="{93818A26-DDE9-175D-CA62-CB583A0B0F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14</xdr:col>
      <xdr:colOff>54428</xdr:colOff>
      <xdr:row>55</xdr:row>
      <xdr:rowOff>73231</xdr:rowOff>
    </xdr:from>
    <xdr:to>
      <xdr:col>21</xdr:col>
      <xdr:colOff>83820</xdr:colOff>
      <xdr:row>72</xdr:row>
      <xdr:rowOff>89065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aphique 1">
              <a:extLst>
                <a:ext uri="{FF2B5EF4-FFF2-40B4-BE49-F238E27FC236}">
                  <a16:creationId xmlns:a16="http://schemas.microsoft.com/office/drawing/2014/main" id="{53D7A676-74F0-8BA2-58B1-7539D507D3A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074978" y="10569781"/>
              <a:ext cx="5401492" cy="325433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150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  <xdr:twoCellAnchor>
    <xdr:from>
      <xdr:col>14</xdr:col>
      <xdr:colOff>0</xdr:colOff>
      <xdr:row>74</xdr:row>
      <xdr:rowOff>0</xdr:rowOff>
    </xdr:from>
    <xdr:to>
      <xdr:col>21</xdr:col>
      <xdr:colOff>83820</xdr:colOff>
      <xdr:row>91</xdr:row>
      <xdr:rowOff>15835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aphique 2">
              <a:extLst>
                <a:ext uri="{FF2B5EF4-FFF2-40B4-BE49-F238E27FC236}">
                  <a16:creationId xmlns:a16="http://schemas.microsoft.com/office/drawing/2014/main" id="{175948F6-D76B-4502-8C39-23558269E18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020550" y="14116050"/>
              <a:ext cx="5455920" cy="3254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150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  <xdr:twoCellAnchor>
    <xdr:from>
      <xdr:col>14</xdr:col>
      <xdr:colOff>0</xdr:colOff>
      <xdr:row>92</xdr:row>
      <xdr:rowOff>148442</xdr:rowOff>
    </xdr:from>
    <xdr:to>
      <xdr:col>21</xdr:col>
      <xdr:colOff>53340</xdr:colOff>
      <xdr:row>109</xdr:row>
      <xdr:rowOff>164276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aphique 3">
              <a:extLst>
                <a:ext uri="{FF2B5EF4-FFF2-40B4-BE49-F238E27FC236}">
                  <a16:creationId xmlns:a16="http://schemas.microsoft.com/office/drawing/2014/main" id="{5CB2996A-326A-4F1E-AA51-C938E58A480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020550" y="17693492"/>
              <a:ext cx="5425440" cy="325433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150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  <xdr:twoCellAnchor>
    <xdr:from>
      <xdr:col>14</xdr:col>
      <xdr:colOff>0</xdr:colOff>
      <xdr:row>111</xdr:row>
      <xdr:rowOff>0</xdr:rowOff>
    </xdr:from>
    <xdr:to>
      <xdr:col>20</xdr:col>
      <xdr:colOff>685800</xdr:colOff>
      <xdr:row>128</xdr:row>
      <xdr:rowOff>15834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Graphique 5">
              <a:extLst>
                <a:ext uri="{FF2B5EF4-FFF2-40B4-BE49-F238E27FC236}">
                  <a16:creationId xmlns:a16="http://schemas.microsoft.com/office/drawing/2014/main" id="{E82F21BE-0387-4E13-B927-4785B1C360F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020550" y="21164550"/>
              <a:ext cx="5143500" cy="325433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150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  <xdr:twoCellAnchor>
    <xdr:from>
      <xdr:col>14</xdr:col>
      <xdr:colOff>0</xdr:colOff>
      <xdr:row>130</xdr:row>
      <xdr:rowOff>0</xdr:rowOff>
    </xdr:from>
    <xdr:to>
      <xdr:col>21</xdr:col>
      <xdr:colOff>22860</xdr:colOff>
      <xdr:row>147</xdr:row>
      <xdr:rowOff>15834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6" name="Graphique 15">
              <a:extLst>
                <a:ext uri="{FF2B5EF4-FFF2-40B4-BE49-F238E27FC236}">
                  <a16:creationId xmlns:a16="http://schemas.microsoft.com/office/drawing/2014/main" id="{885777F5-8FA6-49DD-9CB4-4F7A8A31AB7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020550" y="24784050"/>
              <a:ext cx="5394960" cy="325433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150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  <xdr:twoCellAnchor>
    <xdr:from>
      <xdr:col>14</xdr:col>
      <xdr:colOff>0</xdr:colOff>
      <xdr:row>148</xdr:row>
      <xdr:rowOff>0</xdr:rowOff>
    </xdr:from>
    <xdr:to>
      <xdr:col>21</xdr:col>
      <xdr:colOff>15240</xdr:colOff>
      <xdr:row>165</xdr:row>
      <xdr:rowOff>15834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7" name="Graphique 16">
              <a:extLst>
                <a:ext uri="{FF2B5EF4-FFF2-40B4-BE49-F238E27FC236}">
                  <a16:creationId xmlns:a16="http://schemas.microsoft.com/office/drawing/2014/main" id="{307B0654-C6C6-4231-A842-F18C1D0578D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020550" y="28213050"/>
              <a:ext cx="5387340" cy="325433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150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  <xdr:twoCellAnchor>
    <xdr:from>
      <xdr:col>21</xdr:col>
      <xdr:colOff>408214</xdr:colOff>
      <xdr:row>74</xdr:row>
      <xdr:rowOff>149679</xdr:rowOff>
    </xdr:from>
    <xdr:to>
      <xdr:col>27</xdr:col>
      <xdr:colOff>281544</xdr:colOff>
      <xdr:row>91</xdr:row>
      <xdr:rowOff>165514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8" name="Graphique 17">
              <a:extLst>
                <a:ext uri="{FF2B5EF4-FFF2-40B4-BE49-F238E27FC236}">
                  <a16:creationId xmlns:a16="http://schemas.microsoft.com/office/drawing/2014/main" id="{D2DCC28E-3BB3-4985-AB9D-32A82C70041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800864" y="14265729"/>
              <a:ext cx="5293055" cy="3254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150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  <xdr:twoCellAnchor>
    <xdr:from>
      <xdr:col>1</xdr:col>
      <xdr:colOff>0</xdr:colOff>
      <xdr:row>122</xdr:row>
      <xdr:rowOff>0</xdr:rowOff>
    </xdr:from>
    <xdr:to>
      <xdr:col>6</xdr:col>
      <xdr:colOff>458137</xdr:colOff>
      <xdr:row>137</xdr:row>
      <xdr:rowOff>37464</xdr:rowOff>
    </xdr:to>
    <xdr:graphicFrame macro="">
      <xdr:nvGraphicFramePr>
        <xdr:cNvPr id="19" name="Graphique 18">
          <a:extLst>
            <a:ext uri="{FF2B5EF4-FFF2-40B4-BE49-F238E27FC236}">
              <a16:creationId xmlns:a16="http://schemas.microsoft.com/office/drawing/2014/main" id="{5E5A171C-871B-45E7-98E2-ECFE171379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21</xdr:col>
      <xdr:colOff>0</xdr:colOff>
      <xdr:row>39</xdr:row>
      <xdr:rowOff>0</xdr:rowOff>
    </xdr:from>
    <xdr:to>
      <xdr:col>25</xdr:col>
      <xdr:colOff>768046</xdr:colOff>
      <xdr:row>53</xdr:row>
      <xdr:rowOff>143913</xdr:rowOff>
    </xdr:to>
    <xdr:graphicFrame macro="">
      <xdr:nvGraphicFramePr>
        <xdr:cNvPr id="20" name="Graphique 19">
          <a:extLst>
            <a:ext uri="{FF2B5EF4-FFF2-40B4-BE49-F238E27FC236}">
              <a16:creationId xmlns:a16="http://schemas.microsoft.com/office/drawing/2014/main" id="{07341C01-3E4E-4F34-A7F0-E315103E1A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22</xdr:col>
      <xdr:colOff>0</xdr:colOff>
      <xdr:row>56</xdr:row>
      <xdr:rowOff>0</xdr:rowOff>
    </xdr:from>
    <xdr:to>
      <xdr:col>27</xdr:col>
      <xdr:colOff>172300</xdr:colOff>
      <xdr:row>70</xdr:row>
      <xdr:rowOff>143913</xdr:rowOff>
    </xdr:to>
    <xdr:graphicFrame macro="">
      <xdr:nvGraphicFramePr>
        <xdr:cNvPr id="21" name="Graphique 20">
          <a:extLst>
            <a:ext uri="{FF2B5EF4-FFF2-40B4-BE49-F238E27FC236}">
              <a16:creationId xmlns:a16="http://schemas.microsoft.com/office/drawing/2014/main" id="{17F09635-B4F8-4C1F-AA7C-D8E6F4F315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31</xdr:row>
      <xdr:rowOff>22860</xdr:rowOff>
    </xdr:from>
    <xdr:to>
      <xdr:col>5</xdr:col>
      <xdr:colOff>0</xdr:colOff>
      <xdr:row>46</xdr:row>
      <xdr:rowOff>47625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5070059E-38B7-42EF-8685-1F649E55F4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31</xdr:row>
      <xdr:rowOff>0</xdr:rowOff>
    </xdr:from>
    <xdr:to>
      <xdr:col>12</xdr:col>
      <xdr:colOff>336176</xdr:colOff>
      <xdr:row>46</xdr:row>
      <xdr:rowOff>24765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D37BD636-0CFC-4AAF-BFE1-5025A418AB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31</xdr:row>
      <xdr:rowOff>0</xdr:rowOff>
    </xdr:from>
    <xdr:to>
      <xdr:col>19</xdr:col>
      <xdr:colOff>336176</xdr:colOff>
      <xdr:row>46</xdr:row>
      <xdr:rowOff>24765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CC65E580-B97A-4C8E-A7E3-8DC3A82822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AA883-65ED-4288-9D11-90A18C3BBAF4}">
  <dimension ref="A1:AB57"/>
  <sheetViews>
    <sheetView topLeftCell="A78" zoomScale="85" zoomScaleNormal="85" workbookViewId="0">
      <pane xSplit="1" topLeftCell="B1" activePane="topRight" state="frozen"/>
      <selection pane="topRight" activeCell="N2" sqref="N2:N35"/>
    </sheetView>
  </sheetViews>
  <sheetFormatPr baseColWidth="10" defaultRowHeight="15" x14ac:dyDescent="0.25"/>
  <cols>
    <col min="1" max="1" width="25.28515625" bestFit="1" customWidth="1"/>
    <col min="2" max="2" width="20" customWidth="1"/>
    <col min="3" max="3" width="7.28515625" customWidth="1"/>
    <col min="4" max="5" width="11.5703125" customWidth="1"/>
    <col min="6" max="6" width="9.5703125" customWidth="1"/>
    <col min="7" max="8" width="11.5703125" customWidth="1"/>
    <col min="9" max="9" width="7.7109375" customWidth="1"/>
    <col min="10" max="13" width="11.5703125" customWidth="1"/>
    <col min="14" max="14" width="17.85546875" bestFit="1" customWidth="1"/>
    <col min="15" max="15" width="7.7109375" customWidth="1"/>
    <col min="16" max="16" width="8.42578125" bestFit="1" customWidth="1"/>
    <col min="17" max="17" width="13.42578125" bestFit="1" customWidth="1"/>
    <col min="18" max="18" width="13.85546875" bestFit="1" customWidth="1"/>
    <col min="19" max="20" width="11.7109375" bestFit="1" customWidth="1"/>
    <col min="21" max="21" width="13.7109375" customWidth="1"/>
    <col min="22" max="22" width="14.28515625" bestFit="1" customWidth="1"/>
    <col min="23" max="23" width="21.140625" customWidth="1"/>
    <col min="24" max="24" width="11.5703125" style="17"/>
    <col min="28" max="28" width="12" bestFit="1" customWidth="1"/>
  </cols>
  <sheetData>
    <row r="1" spans="1:28" ht="15.75" thickBot="1" x14ac:dyDescent="0.3">
      <c r="A1" s="2" t="s">
        <v>21</v>
      </c>
      <c r="B1" s="3" t="s">
        <v>25</v>
      </c>
      <c r="C1" s="27" t="s">
        <v>0</v>
      </c>
      <c r="D1" s="27" t="s">
        <v>1</v>
      </c>
      <c r="E1" s="27" t="s">
        <v>2</v>
      </c>
      <c r="F1" s="3" t="s">
        <v>31</v>
      </c>
      <c r="G1" s="27" t="s">
        <v>3</v>
      </c>
      <c r="H1" s="3" t="s">
        <v>55</v>
      </c>
      <c r="I1" s="27" t="s">
        <v>4</v>
      </c>
      <c r="J1" s="24" t="s">
        <v>5</v>
      </c>
      <c r="K1" s="25" t="s">
        <v>6</v>
      </c>
      <c r="L1" s="25" t="s">
        <v>7</v>
      </c>
      <c r="M1" s="25" t="s">
        <v>8</v>
      </c>
      <c r="N1" s="25" t="s">
        <v>9</v>
      </c>
      <c r="O1" s="25" t="s">
        <v>10</v>
      </c>
      <c r="P1" s="5" t="s">
        <v>11</v>
      </c>
      <c r="Q1" s="1" t="s">
        <v>65</v>
      </c>
      <c r="R1" s="3" t="s">
        <v>66</v>
      </c>
      <c r="S1" s="1" t="s">
        <v>23</v>
      </c>
      <c r="T1" s="1" t="s">
        <v>24</v>
      </c>
      <c r="U1" s="1" t="s">
        <v>28</v>
      </c>
      <c r="V1" s="1" t="s">
        <v>58</v>
      </c>
      <c r="W1" s="1" t="s">
        <v>59</v>
      </c>
      <c r="X1" s="17" t="s">
        <v>26</v>
      </c>
    </row>
    <row r="2" spans="1:28" x14ac:dyDescent="0.25">
      <c r="A2" s="13" t="s">
        <v>12</v>
      </c>
      <c r="B2" s="1">
        <f>SUM(C2:E2)</f>
        <v>16194</v>
      </c>
      <c r="C2" s="1">
        <v>2373</v>
      </c>
      <c r="D2" s="1">
        <f>4795+499</f>
        <v>5294</v>
      </c>
      <c r="E2" s="1">
        <v>8527</v>
      </c>
      <c r="F2" s="1">
        <f t="shared" ref="F2:F35" si="0">B2-E2</f>
        <v>7667</v>
      </c>
      <c r="G2" s="9">
        <v>2265</v>
      </c>
      <c r="H2" s="9">
        <f t="shared" ref="H2:H35" si="1">I2*9.81*(LN(B2/(F2)))</f>
        <v>2281.2123870086598</v>
      </c>
      <c r="I2" s="1">
        <v>311</v>
      </c>
      <c r="J2" s="4">
        <v>460</v>
      </c>
      <c r="K2" s="1">
        <v>495</v>
      </c>
      <c r="L2" s="1">
        <v>366</v>
      </c>
      <c r="M2" s="1">
        <v>29</v>
      </c>
      <c r="N2" s="1">
        <v>404</v>
      </c>
      <c r="O2" s="1">
        <f>273+346</f>
        <v>619</v>
      </c>
      <c r="P2" s="1">
        <v>0</v>
      </c>
      <c r="Q2" s="1">
        <f t="shared" ref="Q2:Q35" si="2">SUM(J2:P2)-C2</f>
        <v>0</v>
      </c>
      <c r="R2" s="1">
        <f t="shared" ref="R2:R35" si="3">SUM(C2:E2)-B2</f>
        <v>0</v>
      </c>
      <c r="S2" s="1">
        <v>0.112</v>
      </c>
      <c r="T2" s="1">
        <f>S2*75</f>
        <v>8.4</v>
      </c>
      <c r="U2" s="19" t="s">
        <v>62</v>
      </c>
      <c r="V2" s="1">
        <v>3</v>
      </c>
      <c r="W2" s="1" t="s">
        <v>61</v>
      </c>
      <c r="AB2">
        <f t="shared" ref="AB2:AB35" si="4">J2/F2</f>
        <v>5.9997391417764445E-2</v>
      </c>
    </row>
    <row r="3" spans="1:28" x14ac:dyDescent="0.25">
      <c r="A3" s="13" t="s">
        <v>13</v>
      </c>
      <c r="B3" s="1">
        <f t="shared" ref="B3:B5" si="5">SUM(C3:E3)</f>
        <v>5038.6000000000004</v>
      </c>
      <c r="C3" s="1">
        <f>1200.7-28.8</f>
        <v>1171.9000000000001</v>
      </c>
      <c r="D3" s="1">
        <f>473.3+28.8</f>
        <v>502.1</v>
      </c>
      <c r="E3" s="1">
        <f>3223.8+42.8+98</f>
        <v>3364.6000000000004</v>
      </c>
      <c r="F3" s="1">
        <f t="shared" si="0"/>
        <v>1674</v>
      </c>
      <c r="G3" s="9">
        <v>1910</v>
      </c>
      <c r="H3" s="9">
        <f t="shared" si="1"/>
        <v>3599.6499470379536</v>
      </c>
      <c r="I3" s="1">
        <v>333</v>
      </c>
      <c r="J3" s="4">
        <f>404.8+99.3</f>
        <v>504.1</v>
      </c>
      <c r="K3" s="1">
        <v>252.5</v>
      </c>
      <c r="L3" s="1">
        <v>125.7</v>
      </c>
      <c r="M3" s="1">
        <v>120.1</v>
      </c>
      <c r="N3" s="1">
        <v>113.5</v>
      </c>
      <c r="O3" s="1">
        <v>56</v>
      </c>
      <c r="P3" s="1">
        <v>0</v>
      </c>
      <c r="Q3" s="1">
        <f t="shared" si="2"/>
        <v>0</v>
      </c>
      <c r="R3" s="1">
        <f t="shared" si="3"/>
        <v>0</v>
      </c>
      <c r="S3" s="19" t="s">
        <v>62</v>
      </c>
      <c r="T3" s="19" t="s">
        <v>62</v>
      </c>
      <c r="U3" s="19" t="s">
        <v>62</v>
      </c>
      <c r="V3" s="19" t="s">
        <v>62</v>
      </c>
      <c r="W3" s="1" t="s">
        <v>60</v>
      </c>
      <c r="AB3">
        <f t="shared" si="4"/>
        <v>0.30113500597371567</v>
      </c>
    </row>
    <row r="4" spans="1:28" x14ac:dyDescent="0.25">
      <c r="A4" s="13" t="s">
        <v>14</v>
      </c>
      <c r="B4" s="1">
        <f t="shared" si="5"/>
        <v>60075</v>
      </c>
      <c r="C4" s="1">
        <v>9823</v>
      </c>
      <c r="D4" s="1">
        <v>25000</v>
      </c>
      <c r="E4" s="1">
        <v>25252</v>
      </c>
      <c r="F4" s="1">
        <f t="shared" si="0"/>
        <v>34823</v>
      </c>
      <c r="G4" s="9">
        <v>2100</v>
      </c>
      <c r="H4" s="9">
        <f t="shared" si="1"/>
        <v>2407.296129454624</v>
      </c>
      <c r="I4" s="1">
        <v>450</v>
      </c>
      <c r="J4" s="4">
        <v>1681</v>
      </c>
      <c r="K4" s="1">
        <v>4258</v>
      </c>
      <c r="L4" s="1">
        <v>478</v>
      </c>
      <c r="M4" s="1">
        <v>934</v>
      </c>
      <c r="N4" s="1">
        <v>2017</v>
      </c>
      <c r="O4" s="1">
        <v>455</v>
      </c>
      <c r="P4" s="1">
        <v>0</v>
      </c>
      <c r="Q4" s="1">
        <f t="shared" si="2"/>
        <v>0</v>
      </c>
      <c r="R4" s="1">
        <f t="shared" si="3"/>
        <v>0</v>
      </c>
      <c r="S4" s="1">
        <v>2</v>
      </c>
      <c r="T4" s="1">
        <f>S4*3*24</f>
        <v>144</v>
      </c>
      <c r="U4" s="19" t="s">
        <v>62</v>
      </c>
      <c r="V4" s="1">
        <v>3</v>
      </c>
      <c r="W4" s="1" t="s">
        <v>60</v>
      </c>
      <c r="AB4">
        <f t="shared" si="4"/>
        <v>4.8272693334864891E-2</v>
      </c>
    </row>
    <row r="5" spans="1:28" x14ac:dyDescent="0.25">
      <c r="A5" s="13" t="s">
        <v>15</v>
      </c>
      <c r="B5" s="1">
        <f t="shared" si="5"/>
        <v>69298</v>
      </c>
      <c r="C5" s="1">
        <v>7899</v>
      </c>
      <c r="D5" s="1">
        <v>25000</v>
      </c>
      <c r="E5" s="1">
        <v>36399</v>
      </c>
      <c r="F5" s="1">
        <f t="shared" si="0"/>
        <v>32899</v>
      </c>
      <c r="G5" s="9">
        <v>2100</v>
      </c>
      <c r="H5" s="9">
        <f t="shared" si="1"/>
        <v>2433.6282080275387</v>
      </c>
      <c r="I5" s="1">
        <v>333</v>
      </c>
      <c r="J5" s="4">
        <v>1955</v>
      </c>
      <c r="K5" s="1">
        <v>2943</v>
      </c>
      <c r="L5" s="1">
        <v>478</v>
      </c>
      <c r="M5" s="1">
        <v>1062</v>
      </c>
      <c r="N5" s="1">
        <v>1006</v>
      </c>
      <c r="O5" s="1">
        <v>455</v>
      </c>
      <c r="P5" s="1">
        <v>0</v>
      </c>
      <c r="Q5" s="1">
        <f t="shared" si="2"/>
        <v>0</v>
      </c>
      <c r="R5" s="1">
        <f t="shared" si="3"/>
        <v>0</v>
      </c>
      <c r="S5" s="1">
        <v>2</v>
      </c>
      <c r="T5" s="1">
        <f>S5*3*24</f>
        <v>144</v>
      </c>
      <c r="U5" s="19" t="s">
        <v>62</v>
      </c>
      <c r="V5" s="1">
        <v>3</v>
      </c>
      <c r="W5" s="1" t="s">
        <v>60</v>
      </c>
      <c r="AB5">
        <f t="shared" si="4"/>
        <v>5.9424298610900025E-2</v>
      </c>
    </row>
    <row r="6" spans="1:28" x14ac:dyDescent="0.25">
      <c r="A6" s="13" t="s">
        <v>22</v>
      </c>
      <c r="B6" s="1">
        <f>SUM(C6:E6)</f>
        <v>93037</v>
      </c>
      <c r="C6" s="1">
        <f>11198+1734+60</f>
        <v>12992</v>
      </c>
      <c r="D6" s="1">
        <v>35894</v>
      </c>
      <c r="E6" s="1">
        <v>44151</v>
      </c>
      <c r="F6" s="1">
        <f t="shared" si="0"/>
        <v>48886</v>
      </c>
      <c r="G6" s="9">
        <v>3100</v>
      </c>
      <c r="H6" s="9">
        <f t="shared" si="1"/>
        <v>2840.7581489184909</v>
      </c>
      <c r="I6" s="1">
        <v>450</v>
      </c>
      <c r="J6" s="4">
        <v>1770</v>
      </c>
      <c r="K6" s="1">
        <v>4969</v>
      </c>
      <c r="L6" s="1">
        <v>385</v>
      </c>
      <c r="M6" s="1">
        <v>307</v>
      </c>
      <c r="N6" s="1">
        <v>420</v>
      </c>
      <c r="O6" s="1">
        <f>1469+1734+60</f>
        <v>3263</v>
      </c>
      <c r="P6" s="1">
        <v>1878</v>
      </c>
      <c r="Q6" s="1">
        <f t="shared" si="2"/>
        <v>0</v>
      </c>
      <c r="R6" s="1">
        <f t="shared" si="3"/>
        <v>0</v>
      </c>
      <c r="S6" s="19" t="s">
        <v>62</v>
      </c>
      <c r="T6" s="19" t="s">
        <v>62</v>
      </c>
      <c r="U6" s="19" t="s">
        <v>62</v>
      </c>
      <c r="V6" s="19" t="s">
        <v>62</v>
      </c>
      <c r="W6" s="19" t="s">
        <v>62</v>
      </c>
      <c r="AB6">
        <f t="shared" si="4"/>
        <v>3.6206684940473757E-2</v>
      </c>
    </row>
    <row r="7" spans="1:28" x14ac:dyDescent="0.25">
      <c r="A7" s="13" t="s">
        <v>16</v>
      </c>
      <c r="B7" s="1">
        <v>44821</v>
      </c>
      <c r="C7" s="1">
        <v>5858</v>
      </c>
      <c r="D7" s="1">
        <v>16461</v>
      </c>
      <c r="E7" s="1">
        <v>22502</v>
      </c>
      <c r="F7" s="1">
        <f t="shared" si="0"/>
        <v>22319</v>
      </c>
      <c r="G7" s="9">
        <v>2260</v>
      </c>
      <c r="H7" s="9">
        <f t="shared" si="1"/>
        <v>2592.325569657381</v>
      </c>
      <c r="I7" s="1">
        <v>379</v>
      </c>
      <c r="J7" s="4">
        <v>2822</v>
      </c>
      <c r="K7" s="1">
        <v>1749</v>
      </c>
      <c r="L7" s="1">
        <v>204</v>
      </c>
      <c r="M7" s="1">
        <v>817</v>
      </c>
      <c r="N7" s="1">
        <v>1</v>
      </c>
      <c r="O7" s="1">
        <v>265</v>
      </c>
      <c r="P7" s="1">
        <v>0</v>
      </c>
      <c r="Q7" s="1">
        <f t="shared" si="2"/>
        <v>0</v>
      </c>
      <c r="R7" s="1">
        <f t="shared" si="3"/>
        <v>0</v>
      </c>
      <c r="S7" s="1">
        <v>5</v>
      </c>
      <c r="T7" s="1">
        <f>S7*V7*24</f>
        <v>480</v>
      </c>
      <c r="U7" s="19" t="s">
        <v>62</v>
      </c>
      <c r="V7" s="1">
        <v>4</v>
      </c>
      <c r="W7" s="1" t="s">
        <v>63</v>
      </c>
      <c r="AB7">
        <f t="shared" si="4"/>
        <v>0.12643935660199829</v>
      </c>
    </row>
    <row r="8" spans="1:28" x14ac:dyDescent="0.25">
      <c r="A8" s="13" t="s">
        <v>17</v>
      </c>
      <c r="B8" s="1">
        <v>60935</v>
      </c>
      <c r="C8" s="1">
        <f>9050+1764+694</f>
        <v>11508</v>
      </c>
      <c r="D8" s="1">
        <f>28475-(65469-B8)</f>
        <v>23941</v>
      </c>
      <c r="E8" s="1">
        <v>25486</v>
      </c>
      <c r="F8" s="1">
        <f t="shared" si="0"/>
        <v>35449</v>
      </c>
      <c r="G8" s="9">
        <v>1900</v>
      </c>
      <c r="H8" s="9">
        <f t="shared" si="1"/>
        <v>1923.7408979293918</v>
      </c>
      <c r="I8" s="1">
        <v>362</v>
      </c>
      <c r="J8" s="4">
        <v>2015</v>
      </c>
      <c r="K8" s="1">
        <v>2425</v>
      </c>
      <c r="L8" s="1">
        <v>553</v>
      </c>
      <c r="M8" s="1">
        <v>594</v>
      </c>
      <c r="N8" s="1">
        <f>777+295</f>
        <v>1072</v>
      </c>
      <c r="O8" s="1">
        <f>883+1764+694</f>
        <v>3341</v>
      </c>
      <c r="P8" s="1">
        <v>1508</v>
      </c>
      <c r="Q8" s="1">
        <f t="shared" si="2"/>
        <v>0</v>
      </c>
      <c r="R8" s="1">
        <f t="shared" si="3"/>
        <v>0</v>
      </c>
      <c r="S8" s="1">
        <v>2</v>
      </c>
      <c r="T8" s="1">
        <f>S8*V8*24</f>
        <v>225.60000000000002</v>
      </c>
      <c r="U8" s="19" t="s">
        <v>62</v>
      </c>
      <c r="V8" s="1">
        <v>4.7</v>
      </c>
      <c r="W8" s="1" t="s">
        <v>60</v>
      </c>
      <c r="AB8">
        <f t="shared" si="4"/>
        <v>5.6842224040170385E-2</v>
      </c>
    </row>
    <row r="9" spans="1:28" x14ac:dyDescent="0.25">
      <c r="A9" s="13" t="s">
        <v>18</v>
      </c>
      <c r="B9" s="1">
        <v>56989</v>
      </c>
      <c r="C9" s="1">
        <f>8895+1741+698</f>
        <v>11334</v>
      </c>
      <c r="D9" s="1">
        <f>26357-(61524-56989)</f>
        <v>21822</v>
      </c>
      <c r="E9" s="1">
        <v>23833</v>
      </c>
      <c r="F9" s="1">
        <f t="shared" si="0"/>
        <v>33156</v>
      </c>
      <c r="G9" s="9">
        <v>1900</v>
      </c>
      <c r="H9" s="9">
        <f t="shared" si="1"/>
        <v>1865.0157347582269</v>
      </c>
      <c r="I9" s="1">
        <v>351</v>
      </c>
      <c r="J9" s="4">
        <v>1985</v>
      </c>
      <c r="K9" s="1">
        <v>2347</v>
      </c>
      <c r="L9" s="1">
        <v>553</v>
      </c>
      <c r="M9" s="1">
        <v>594</v>
      </c>
      <c r="N9" s="1">
        <f>777+289</f>
        <v>1066</v>
      </c>
      <c r="O9" s="1">
        <f>867+1741+698</f>
        <v>3306</v>
      </c>
      <c r="P9" s="1">
        <v>1483</v>
      </c>
      <c r="Q9" s="1">
        <f t="shared" si="2"/>
        <v>0</v>
      </c>
      <c r="R9" s="1">
        <f t="shared" si="3"/>
        <v>0</v>
      </c>
      <c r="S9" s="1">
        <v>2</v>
      </c>
      <c r="T9" s="1">
        <f t="shared" ref="T9:T11" si="6">S9*V9*24</f>
        <v>225.60000000000002</v>
      </c>
      <c r="U9" s="19" t="s">
        <v>62</v>
      </c>
      <c r="V9" s="1">
        <v>4.7</v>
      </c>
      <c r="W9" s="1" t="s">
        <v>60</v>
      </c>
      <c r="AB9">
        <f t="shared" si="4"/>
        <v>5.9868500422246354E-2</v>
      </c>
    </row>
    <row r="10" spans="1:28" x14ac:dyDescent="0.25">
      <c r="A10" s="13" t="s">
        <v>19</v>
      </c>
      <c r="B10" s="1">
        <v>45807</v>
      </c>
      <c r="C10" s="1">
        <f>7164+1286+717</f>
        <v>9167</v>
      </c>
      <c r="D10" s="1">
        <f>22028-4540</f>
        <v>17488</v>
      </c>
      <c r="E10" s="1">
        <v>19152</v>
      </c>
      <c r="F10" s="1">
        <f t="shared" si="0"/>
        <v>26655</v>
      </c>
      <c r="G10" s="9">
        <v>1900</v>
      </c>
      <c r="H10" s="9">
        <f t="shared" si="1"/>
        <v>1928.1559006099681</v>
      </c>
      <c r="I10" s="1">
        <v>363</v>
      </c>
      <c r="J10" s="4">
        <v>1877</v>
      </c>
      <c r="K10" s="1">
        <v>1125</v>
      </c>
      <c r="L10" s="1">
        <v>553</v>
      </c>
      <c r="M10" s="1">
        <v>594</v>
      </c>
      <c r="N10" s="1">
        <f>777+272</f>
        <v>1049</v>
      </c>
      <c r="O10" s="1">
        <f>772+1286+717</f>
        <v>2775</v>
      </c>
      <c r="P10" s="1">
        <v>1194</v>
      </c>
      <c r="Q10" s="1">
        <f t="shared" si="2"/>
        <v>0</v>
      </c>
      <c r="R10" s="1">
        <f t="shared" si="3"/>
        <v>0</v>
      </c>
      <c r="S10" s="1">
        <v>4.5</v>
      </c>
      <c r="T10" s="1">
        <f t="shared" si="6"/>
        <v>507.6</v>
      </c>
      <c r="U10" s="19" t="s">
        <v>62</v>
      </c>
      <c r="V10" s="1">
        <v>4.7</v>
      </c>
      <c r="W10" s="1" t="s">
        <v>60</v>
      </c>
      <c r="AB10">
        <f t="shared" si="4"/>
        <v>7.0418308009754266E-2</v>
      </c>
    </row>
    <row r="11" spans="1:28" x14ac:dyDescent="0.25">
      <c r="A11" s="13" t="s">
        <v>20</v>
      </c>
      <c r="B11" s="1">
        <v>43803</v>
      </c>
      <c r="C11" s="1">
        <f>7094+1264+719</f>
        <v>9077</v>
      </c>
      <c r="D11" s="1">
        <f>20956-4542</f>
        <v>16414</v>
      </c>
      <c r="E11" s="1">
        <v>18312</v>
      </c>
      <c r="F11" s="1">
        <f t="shared" si="0"/>
        <v>25491</v>
      </c>
      <c r="G11" s="9">
        <v>1900</v>
      </c>
      <c r="H11" s="9">
        <f t="shared" si="1"/>
        <v>1927.859237978244</v>
      </c>
      <c r="I11" s="1">
        <v>363</v>
      </c>
      <c r="J11" s="4">
        <v>1860</v>
      </c>
      <c r="K11" s="1">
        <v>1095</v>
      </c>
      <c r="L11" s="1">
        <v>553</v>
      </c>
      <c r="M11" s="1">
        <v>594</v>
      </c>
      <c r="N11" s="1">
        <f>777+269</f>
        <v>1046</v>
      </c>
      <c r="O11" s="1">
        <f>764+1264+719</f>
        <v>2747</v>
      </c>
      <c r="P11" s="1">
        <v>1182</v>
      </c>
      <c r="Q11" s="1">
        <f t="shared" si="2"/>
        <v>0</v>
      </c>
      <c r="R11" s="1">
        <f t="shared" si="3"/>
        <v>0</v>
      </c>
      <c r="S11" s="1">
        <v>4.5</v>
      </c>
      <c r="T11" s="1">
        <f t="shared" si="6"/>
        <v>507.6</v>
      </c>
      <c r="U11" s="19" t="s">
        <v>62</v>
      </c>
      <c r="V11" s="1">
        <v>4.7</v>
      </c>
      <c r="W11" s="1" t="s">
        <v>60</v>
      </c>
      <c r="AB11">
        <f t="shared" si="4"/>
        <v>7.2966929504531014E-2</v>
      </c>
    </row>
    <row r="12" spans="1:28" ht="15.75" thickBot="1" x14ac:dyDescent="0.3">
      <c r="A12" s="13" t="s">
        <v>56</v>
      </c>
      <c r="B12" s="1">
        <v>53600</v>
      </c>
      <c r="C12" s="1">
        <f>8016+640+119</f>
        <v>8775</v>
      </c>
      <c r="D12" s="1">
        <f>20862</f>
        <v>20862</v>
      </c>
      <c r="E12" s="1">
        <v>23963</v>
      </c>
      <c r="F12" s="1">
        <f t="shared" si="0"/>
        <v>29637</v>
      </c>
      <c r="G12" s="9">
        <f t="shared" ref="G12:G35" si="7">I12*9.81*(LN(B12/(F12)))</f>
        <v>2615.7037638902843</v>
      </c>
      <c r="H12" s="9">
        <f t="shared" si="1"/>
        <v>2615.7037638902843</v>
      </c>
      <c r="I12" s="1">
        <v>450</v>
      </c>
      <c r="J12" s="4">
        <v>535</v>
      </c>
      <c r="K12" s="1">
        <v>3006</v>
      </c>
      <c r="L12" s="1">
        <v>909</v>
      </c>
      <c r="M12" s="1">
        <v>731</v>
      </c>
      <c r="N12" s="1">
        <f>832+0</f>
        <v>832</v>
      </c>
      <c r="O12" s="1">
        <f>527+640+119+140</f>
        <v>1426</v>
      </c>
      <c r="P12" s="1">
        <f>1336</f>
        <v>1336</v>
      </c>
      <c r="Q12" s="1">
        <f t="shared" si="2"/>
        <v>0</v>
      </c>
      <c r="R12" s="1">
        <f t="shared" si="3"/>
        <v>0</v>
      </c>
      <c r="S12" s="1">
        <v>3</v>
      </c>
      <c r="T12" s="19" t="s">
        <v>62</v>
      </c>
      <c r="U12" s="1">
        <v>7.5</v>
      </c>
      <c r="V12" s="19" t="s">
        <v>62</v>
      </c>
      <c r="W12" s="1" t="s">
        <v>64</v>
      </c>
      <c r="AB12">
        <f t="shared" si="4"/>
        <v>1.8051759624793332E-2</v>
      </c>
    </row>
    <row r="13" spans="1:28" s="15" customFormat="1" x14ac:dyDescent="0.25">
      <c r="A13" s="16" t="s">
        <v>27</v>
      </c>
      <c r="B13" s="7">
        <f>36272+18325</f>
        <v>54597</v>
      </c>
      <c r="C13" s="7">
        <v>6692</v>
      </c>
      <c r="D13" s="7">
        <v>18325</v>
      </c>
      <c r="E13" s="7">
        <v>29580</v>
      </c>
      <c r="F13" s="7">
        <f t="shared" si="0"/>
        <v>25017</v>
      </c>
      <c r="G13" s="10">
        <f t="shared" si="7"/>
        <v>2771.4549820453913</v>
      </c>
      <c r="H13" s="10">
        <f t="shared" si="1"/>
        <v>2771.4549820453913</v>
      </c>
      <c r="I13" s="7">
        <v>362</v>
      </c>
      <c r="J13" s="14">
        <v>3757</v>
      </c>
      <c r="K13" s="7">
        <v>1219</v>
      </c>
      <c r="L13" s="7">
        <v>400</v>
      </c>
      <c r="M13" s="7">
        <v>199</v>
      </c>
      <c r="N13" s="7">
        <v>1</v>
      </c>
      <c r="O13" s="7">
        <f>431+685</f>
        <v>1116</v>
      </c>
      <c r="P13" s="7">
        <v>0</v>
      </c>
      <c r="Q13" s="7">
        <f t="shared" si="2"/>
        <v>0</v>
      </c>
      <c r="R13" s="1">
        <f t="shared" si="3"/>
        <v>0</v>
      </c>
      <c r="S13" s="20" t="s">
        <v>62</v>
      </c>
      <c r="T13" s="20" t="s">
        <v>62</v>
      </c>
      <c r="U13" s="20" t="s">
        <v>62</v>
      </c>
      <c r="V13" s="20" t="s">
        <v>62</v>
      </c>
      <c r="W13" s="7" t="s">
        <v>60</v>
      </c>
      <c r="X13" s="18"/>
      <c r="AB13">
        <f t="shared" si="4"/>
        <v>0.15017787904225127</v>
      </c>
    </row>
    <row r="14" spans="1:28" x14ac:dyDescent="0.25">
      <c r="A14" s="13" t="s">
        <v>29</v>
      </c>
      <c r="B14" s="1">
        <f>35054+10808</f>
        <v>45862</v>
      </c>
      <c r="C14" s="1">
        <f>6136+1033+486</f>
        <v>7655</v>
      </c>
      <c r="D14" s="1">
        <f>10808+2294</f>
        <v>13102</v>
      </c>
      <c r="E14" s="1">
        <v>25105</v>
      </c>
      <c r="F14" s="1">
        <f t="shared" si="0"/>
        <v>20757</v>
      </c>
      <c r="G14" s="9">
        <f t="shared" si="7"/>
        <v>3499.6096559997736</v>
      </c>
      <c r="H14" s="9">
        <f t="shared" si="1"/>
        <v>3499.6096559997736</v>
      </c>
      <c r="I14" s="1">
        <v>450</v>
      </c>
      <c r="J14" s="4">
        <v>1113</v>
      </c>
      <c r="K14" s="1">
        <v>2362</v>
      </c>
      <c r="L14" s="1">
        <v>468</v>
      </c>
      <c r="M14" s="1">
        <v>69</v>
      </c>
      <c r="N14" s="1">
        <f>281+88</f>
        <v>369</v>
      </c>
      <c r="O14" s="1">
        <f>640+92+486+1033</f>
        <v>2251</v>
      </c>
      <c r="P14" s="1">
        <v>1023</v>
      </c>
      <c r="Q14" s="1">
        <f t="shared" si="2"/>
        <v>0</v>
      </c>
      <c r="R14" s="1">
        <f t="shared" si="3"/>
        <v>0</v>
      </c>
      <c r="S14" s="19" t="s">
        <v>62</v>
      </c>
      <c r="T14" s="19" t="s">
        <v>62</v>
      </c>
      <c r="U14" s="19" t="s">
        <v>62</v>
      </c>
      <c r="V14" s="1">
        <v>7</v>
      </c>
      <c r="W14" s="1" t="s">
        <v>64</v>
      </c>
      <c r="X14" s="17" t="s">
        <v>32</v>
      </c>
      <c r="AB14">
        <f t="shared" si="4"/>
        <v>5.3620465385171269E-2</v>
      </c>
    </row>
    <row r="15" spans="1:28" x14ac:dyDescent="0.25">
      <c r="A15" s="13" t="s">
        <v>30</v>
      </c>
      <c r="B15" s="1">
        <f>10790+39791+31330</f>
        <v>81911</v>
      </c>
      <c r="C15" s="1">
        <f>9226+500+148</f>
        <v>9874</v>
      </c>
      <c r="D15" s="1">
        <f>31330+10790+148</f>
        <v>42268</v>
      </c>
      <c r="E15" s="1">
        <v>29769</v>
      </c>
      <c r="F15" s="1">
        <f t="shared" si="0"/>
        <v>52142</v>
      </c>
      <c r="G15" s="9">
        <f t="shared" si="7"/>
        <v>1993.8642207560945</v>
      </c>
      <c r="H15" s="9">
        <f t="shared" si="1"/>
        <v>1993.8642207560945</v>
      </c>
      <c r="I15" s="1">
        <v>450</v>
      </c>
      <c r="J15" s="4">
        <v>2432</v>
      </c>
      <c r="K15" s="1">
        <v>1826</v>
      </c>
      <c r="L15" s="1">
        <v>336</v>
      </c>
      <c r="M15" s="1">
        <v>145</v>
      </c>
      <c r="N15" s="1">
        <f>1008+160</f>
        <v>1168</v>
      </c>
      <c r="O15" s="1">
        <f>1781+500+148</f>
        <v>2429</v>
      </c>
      <c r="P15" s="1">
        <v>1538</v>
      </c>
      <c r="Q15" s="1">
        <f t="shared" si="2"/>
        <v>0</v>
      </c>
      <c r="R15" s="1">
        <f t="shared" si="3"/>
        <v>0</v>
      </c>
      <c r="S15" s="1">
        <v>4.5</v>
      </c>
      <c r="T15" s="1">
        <f t="shared" ref="T15:T16" si="8">S15*V15*24</f>
        <v>432</v>
      </c>
      <c r="U15" s="19" t="s">
        <v>62</v>
      </c>
      <c r="V15" s="1">
        <v>4</v>
      </c>
      <c r="W15" s="1" t="s">
        <v>61</v>
      </c>
      <c r="AB15">
        <f t="shared" si="4"/>
        <v>4.6641862605960649E-2</v>
      </c>
    </row>
    <row r="16" spans="1:28" x14ac:dyDescent="0.25">
      <c r="A16" s="13" t="s">
        <v>33</v>
      </c>
      <c r="B16" s="1">
        <f>34504+7755</f>
        <v>42259</v>
      </c>
      <c r="C16" s="1">
        <f>4722+95+655</f>
        <v>5472</v>
      </c>
      <c r="D16" s="1">
        <f>7755+1590</f>
        <v>9345</v>
      </c>
      <c r="E16" s="1">
        <v>27442</v>
      </c>
      <c r="F16" s="1">
        <f t="shared" si="0"/>
        <v>14817</v>
      </c>
      <c r="G16" s="9">
        <f t="shared" si="7"/>
        <v>3320.8578885135848</v>
      </c>
      <c r="H16" s="9">
        <f t="shared" si="1"/>
        <v>3320.8578885135848</v>
      </c>
      <c r="I16" s="1">
        <v>323</v>
      </c>
      <c r="J16" s="4">
        <v>1011</v>
      </c>
      <c r="K16" s="1">
        <v>1616</v>
      </c>
      <c r="L16" s="1">
        <v>306</v>
      </c>
      <c r="M16" s="1">
        <v>69</v>
      </c>
      <c r="N16" s="1">
        <f>124+162</f>
        <v>286</v>
      </c>
      <c r="O16" s="1">
        <f>555+655+95+92</f>
        <v>1397</v>
      </c>
      <c r="P16" s="1">
        <f>787</f>
        <v>787</v>
      </c>
      <c r="Q16" s="1">
        <f t="shared" si="2"/>
        <v>0</v>
      </c>
      <c r="R16" s="1">
        <f t="shared" si="3"/>
        <v>0</v>
      </c>
      <c r="S16" s="1">
        <v>4.5</v>
      </c>
      <c r="T16" s="1">
        <f t="shared" si="8"/>
        <v>756</v>
      </c>
      <c r="U16" s="19" t="s">
        <v>62</v>
      </c>
      <c r="V16" s="1">
        <v>7</v>
      </c>
      <c r="W16" s="1" t="s">
        <v>63</v>
      </c>
      <c r="X16" s="17" t="s">
        <v>32</v>
      </c>
      <c r="AB16">
        <f t="shared" si="4"/>
        <v>6.8232435715731926E-2</v>
      </c>
    </row>
    <row r="17" spans="1:28" x14ac:dyDescent="0.25">
      <c r="A17" s="13" t="s">
        <v>34</v>
      </c>
      <c r="B17" s="1">
        <f>34018+7812</f>
        <v>41830</v>
      </c>
      <c r="C17" s="1">
        <f>5621+1968+95</f>
        <v>7684</v>
      </c>
      <c r="D17" s="1">
        <f>7812+1590</f>
        <v>9402</v>
      </c>
      <c r="E17" s="1">
        <v>24744</v>
      </c>
      <c r="F17" s="1">
        <f t="shared" si="0"/>
        <v>17086</v>
      </c>
      <c r="G17" s="9">
        <f t="shared" si="7"/>
        <v>3188.3837747817079</v>
      </c>
      <c r="H17" s="9">
        <f t="shared" si="1"/>
        <v>3188.3837747817079</v>
      </c>
      <c r="I17" s="1">
        <v>363</v>
      </c>
      <c r="J17" s="4">
        <v>1355</v>
      </c>
      <c r="K17" s="1">
        <v>2013</v>
      </c>
      <c r="L17" s="1">
        <v>306</v>
      </c>
      <c r="M17" s="1">
        <v>69</v>
      </c>
      <c r="N17" s="1">
        <f>124+141</f>
        <v>265</v>
      </c>
      <c r="O17" s="1">
        <f>584+1968+95+92</f>
        <v>2739</v>
      </c>
      <c r="P17" s="1">
        <f>937</f>
        <v>937</v>
      </c>
      <c r="Q17" s="1">
        <f t="shared" si="2"/>
        <v>0</v>
      </c>
      <c r="R17" s="1">
        <f t="shared" si="3"/>
        <v>0</v>
      </c>
      <c r="S17" s="1">
        <v>4.5</v>
      </c>
      <c r="T17" s="1">
        <f t="shared" ref="T17:T23" si="9">S17*V17*24</f>
        <v>756</v>
      </c>
      <c r="U17" s="19" t="s">
        <v>62</v>
      </c>
      <c r="V17" s="1">
        <v>7</v>
      </c>
      <c r="W17" s="1" t="s">
        <v>63</v>
      </c>
      <c r="X17" s="17" t="s">
        <v>39</v>
      </c>
      <c r="AB17">
        <f t="shared" si="4"/>
        <v>7.9304693901439779E-2</v>
      </c>
    </row>
    <row r="18" spans="1:28" x14ac:dyDescent="0.25">
      <c r="A18" s="13" t="s">
        <v>35</v>
      </c>
      <c r="B18" s="1">
        <f>15154+7737</f>
        <v>22891</v>
      </c>
      <c r="C18" s="1">
        <f>2761+250+95</f>
        <v>3106</v>
      </c>
      <c r="D18" s="1">
        <f>7737+1590</f>
        <v>9327</v>
      </c>
      <c r="E18" s="1">
        <f>10458</f>
        <v>10458</v>
      </c>
      <c r="F18" s="1">
        <f t="shared" si="0"/>
        <v>12433</v>
      </c>
      <c r="G18" s="9">
        <f t="shared" si="7"/>
        <v>1934.0987736564762</v>
      </c>
      <c r="H18" s="9">
        <f t="shared" si="1"/>
        <v>1934.0987736564762</v>
      </c>
      <c r="I18" s="1">
        <v>323</v>
      </c>
      <c r="J18" s="4">
        <v>451</v>
      </c>
      <c r="K18" s="1">
        <v>677</v>
      </c>
      <c r="L18" s="1">
        <v>306</v>
      </c>
      <c r="M18" s="1">
        <v>69</v>
      </c>
      <c r="N18" s="1">
        <f>124+86</f>
        <v>210</v>
      </c>
      <c r="O18" s="1">
        <f>496+250+95+92</f>
        <v>933</v>
      </c>
      <c r="P18" s="1">
        <v>460</v>
      </c>
      <c r="Q18" s="1">
        <f t="shared" si="2"/>
        <v>0</v>
      </c>
      <c r="R18" s="1">
        <f t="shared" si="3"/>
        <v>0</v>
      </c>
      <c r="S18" s="1">
        <v>4.5</v>
      </c>
      <c r="T18" s="1">
        <f t="shared" si="9"/>
        <v>756</v>
      </c>
      <c r="U18" s="19" t="s">
        <v>62</v>
      </c>
      <c r="V18" s="1">
        <v>7</v>
      </c>
      <c r="W18" s="1" t="s">
        <v>63</v>
      </c>
      <c r="AB18">
        <f t="shared" si="4"/>
        <v>3.6274430949891419E-2</v>
      </c>
    </row>
    <row r="19" spans="1:28" x14ac:dyDescent="0.25">
      <c r="A19" s="13" t="s">
        <v>36</v>
      </c>
      <c r="B19" s="1">
        <f>15472+7667</f>
        <v>23139</v>
      </c>
      <c r="C19" s="1">
        <f>3442+995+95</f>
        <v>4532</v>
      </c>
      <c r="D19" s="1">
        <f>7667+1590</f>
        <v>9257</v>
      </c>
      <c r="E19" s="1">
        <v>9350</v>
      </c>
      <c r="F19" s="1">
        <f t="shared" si="0"/>
        <v>13789</v>
      </c>
      <c r="G19" s="9">
        <f t="shared" si="7"/>
        <v>1843.3612424096523</v>
      </c>
      <c r="H19" s="9">
        <f t="shared" si="1"/>
        <v>1843.3612424096523</v>
      </c>
      <c r="I19" s="1">
        <v>363</v>
      </c>
      <c r="J19" s="4">
        <v>717</v>
      </c>
      <c r="K19" s="1">
        <v>955</v>
      </c>
      <c r="L19" s="1">
        <v>306</v>
      </c>
      <c r="M19" s="1">
        <v>69</v>
      </c>
      <c r="N19" s="1">
        <f>124+95</f>
        <v>219</v>
      </c>
      <c r="O19" s="1">
        <f>510+995+95+92</f>
        <v>1692</v>
      </c>
      <c r="P19" s="1">
        <v>574</v>
      </c>
      <c r="Q19" s="1">
        <f t="shared" si="2"/>
        <v>0</v>
      </c>
      <c r="R19" s="1">
        <f t="shared" si="3"/>
        <v>0</v>
      </c>
      <c r="S19" s="1">
        <v>4.5</v>
      </c>
      <c r="T19" s="1">
        <f t="shared" si="9"/>
        <v>756</v>
      </c>
      <c r="U19" s="19" t="s">
        <v>62</v>
      </c>
      <c r="V19" s="1">
        <v>7</v>
      </c>
      <c r="W19" s="1" t="s">
        <v>63</v>
      </c>
      <c r="AB19">
        <f t="shared" si="4"/>
        <v>5.199796939589528E-2</v>
      </c>
    </row>
    <row r="20" spans="1:28" x14ac:dyDescent="0.25">
      <c r="A20" s="13" t="s">
        <v>37</v>
      </c>
      <c r="B20" s="1">
        <f>13564+9600</f>
        <v>23164</v>
      </c>
      <c r="C20" s="1">
        <f>2761+250+95</f>
        <v>3106</v>
      </c>
      <c r="D20" s="1">
        <v>9600</v>
      </c>
      <c r="E20" s="1">
        <v>10458</v>
      </c>
      <c r="F20" s="1">
        <f t="shared" si="0"/>
        <v>12706</v>
      </c>
      <c r="G20" s="9">
        <f t="shared" si="7"/>
        <v>1902.8416147795385</v>
      </c>
      <c r="H20" s="9">
        <f t="shared" si="1"/>
        <v>1902.8416147795385</v>
      </c>
      <c r="I20" s="1">
        <v>323</v>
      </c>
      <c r="J20" s="4">
        <v>451</v>
      </c>
      <c r="K20" s="1">
        <v>677</v>
      </c>
      <c r="L20" s="1">
        <v>306</v>
      </c>
      <c r="M20" s="1">
        <v>69</v>
      </c>
      <c r="N20" s="1">
        <f>124+86</f>
        <v>210</v>
      </c>
      <c r="O20" s="1">
        <f>496+250+95+92</f>
        <v>933</v>
      </c>
      <c r="P20" s="1">
        <v>460</v>
      </c>
      <c r="Q20" s="1">
        <f t="shared" si="2"/>
        <v>0</v>
      </c>
      <c r="R20" s="1">
        <f t="shared" si="3"/>
        <v>0</v>
      </c>
      <c r="S20" s="1">
        <v>4.5</v>
      </c>
      <c r="T20" s="1">
        <f t="shared" si="9"/>
        <v>756</v>
      </c>
      <c r="U20" s="19" t="s">
        <v>62</v>
      </c>
      <c r="V20" s="1">
        <v>7</v>
      </c>
      <c r="W20" s="1" t="s">
        <v>63</v>
      </c>
      <c r="AB20">
        <f t="shared" si="4"/>
        <v>3.5495041712576739E-2</v>
      </c>
    </row>
    <row r="21" spans="1:28" x14ac:dyDescent="0.25">
      <c r="A21" s="13" t="s">
        <v>38</v>
      </c>
      <c r="B21" s="1">
        <f>13882+9313</f>
        <v>23195</v>
      </c>
      <c r="C21" s="1">
        <f>3442+995+95</f>
        <v>4532</v>
      </c>
      <c r="D21" s="1">
        <v>9313</v>
      </c>
      <c r="E21" s="1">
        <v>9350</v>
      </c>
      <c r="F21" s="1">
        <f t="shared" si="0"/>
        <v>13845</v>
      </c>
      <c r="G21" s="9">
        <f t="shared" si="7"/>
        <v>1837.5362833866116</v>
      </c>
      <c r="H21" s="9">
        <f t="shared" si="1"/>
        <v>1837.5362833866116</v>
      </c>
      <c r="I21" s="1">
        <v>363</v>
      </c>
      <c r="J21" s="4">
        <v>717</v>
      </c>
      <c r="K21" s="1">
        <v>955</v>
      </c>
      <c r="L21" s="1">
        <v>306</v>
      </c>
      <c r="M21" s="1">
        <v>69</v>
      </c>
      <c r="N21" s="1">
        <f>124+95</f>
        <v>219</v>
      </c>
      <c r="O21" s="1">
        <f>510+995+95+92</f>
        <v>1692</v>
      </c>
      <c r="P21" s="1">
        <v>574</v>
      </c>
      <c r="Q21" s="1">
        <f t="shared" si="2"/>
        <v>0</v>
      </c>
      <c r="R21" s="1">
        <f t="shared" si="3"/>
        <v>0</v>
      </c>
      <c r="S21" s="1">
        <v>4.5</v>
      </c>
      <c r="T21" s="1">
        <f t="shared" si="9"/>
        <v>756</v>
      </c>
      <c r="U21" s="19" t="s">
        <v>62</v>
      </c>
      <c r="V21" s="1">
        <v>7</v>
      </c>
      <c r="W21" s="1" t="s">
        <v>63</v>
      </c>
      <c r="AB21">
        <f t="shared" si="4"/>
        <v>5.1787648970747564E-2</v>
      </c>
    </row>
    <row r="22" spans="1:28" x14ac:dyDescent="0.25">
      <c r="A22" s="13" t="s">
        <v>40</v>
      </c>
      <c r="B22" s="1">
        <f>13564+9600</f>
        <v>23164</v>
      </c>
      <c r="C22" s="1">
        <f>2761+250+95</f>
        <v>3106</v>
      </c>
      <c r="D22" s="1">
        <f>9600</f>
        <v>9600</v>
      </c>
      <c r="E22" s="1">
        <v>10458</v>
      </c>
      <c r="F22" s="1">
        <f t="shared" si="0"/>
        <v>12706</v>
      </c>
      <c r="G22" s="9">
        <f t="shared" si="7"/>
        <v>1902.8416147795385</v>
      </c>
      <c r="H22" s="9">
        <f t="shared" si="1"/>
        <v>1902.8416147795385</v>
      </c>
      <c r="I22" s="1">
        <v>323</v>
      </c>
      <c r="J22" s="4">
        <v>451</v>
      </c>
      <c r="K22" s="1">
        <v>677</v>
      </c>
      <c r="L22" s="1">
        <v>306</v>
      </c>
      <c r="M22" s="1">
        <v>69</v>
      </c>
      <c r="N22" s="1">
        <f>124+86</f>
        <v>210</v>
      </c>
      <c r="O22" s="1">
        <f>496+250+95+92</f>
        <v>933</v>
      </c>
      <c r="P22" s="1">
        <v>460</v>
      </c>
      <c r="Q22" s="1">
        <f t="shared" si="2"/>
        <v>0</v>
      </c>
      <c r="R22" s="1">
        <f t="shared" si="3"/>
        <v>0</v>
      </c>
      <c r="S22" s="1">
        <v>4.5</v>
      </c>
      <c r="T22" s="1">
        <f t="shared" si="9"/>
        <v>756</v>
      </c>
      <c r="U22" s="19" t="s">
        <v>62</v>
      </c>
      <c r="V22" s="1">
        <v>7</v>
      </c>
      <c r="W22" s="1" t="s">
        <v>63</v>
      </c>
      <c r="AB22">
        <f t="shared" si="4"/>
        <v>3.5495041712576739E-2</v>
      </c>
    </row>
    <row r="23" spans="1:28" x14ac:dyDescent="0.25">
      <c r="A23" s="13" t="s">
        <v>41</v>
      </c>
      <c r="B23" s="1">
        <f>33067+14451</f>
        <v>47518</v>
      </c>
      <c r="C23" s="1">
        <f>4739+658+95</f>
        <v>5492</v>
      </c>
      <c r="D23" s="1">
        <v>14451</v>
      </c>
      <c r="E23" s="1">
        <v>27575</v>
      </c>
      <c r="F23" s="1">
        <f t="shared" si="0"/>
        <v>19943</v>
      </c>
      <c r="G23" s="9">
        <f t="shared" si="7"/>
        <v>3091.7944374111398</v>
      </c>
      <c r="H23" s="9">
        <f t="shared" si="1"/>
        <v>3091.7944374111398</v>
      </c>
      <c r="I23" s="1">
        <v>363</v>
      </c>
      <c r="J23" s="4">
        <v>1017</v>
      </c>
      <c r="K23" s="1">
        <v>1624</v>
      </c>
      <c r="L23" s="1">
        <v>306</v>
      </c>
      <c r="M23" s="1">
        <v>69</v>
      </c>
      <c r="N23" s="1">
        <f>124+162</f>
        <v>286</v>
      </c>
      <c r="O23" s="1">
        <f>555+658+95+92</f>
        <v>1400</v>
      </c>
      <c r="P23" s="1">
        <v>790</v>
      </c>
      <c r="Q23" s="1">
        <f t="shared" si="2"/>
        <v>0</v>
      </c>
      <c r="R23" s="1">
        <f t="shared" si="3"/>
        <v>0</v>
      </c>
      <c r="S23" s="1">
        <v>4.5</v>
      </c>
      <c r="T23" s="1">
        <f t="shared" si="9"/>
        <v>756</v>
      </c>
      <c r="U23" s="19" t="s">
        <v>62</v>
      </c>
      <c r="V23" s="1">
        <v>7</v>
      </c>
      <c r="W23" s="1" t="s">
        <v>63</v>
      </c>
      <c r="X23" s="17" t="s">
        <v>42</v>
      </c>
      <c r="AB23">
        <f t="shared" si="4"/>
        <v>5.0995336709622426E-2</v>
      </c>
    </row>
    <row r="24" spans="1:28" x14ac:dyDescent="0.25">
      <c r="A24" s="13" t="s">
        <v>57</v>
      </c>
      <c r="B24" s="1">
        <f>33067+14234</f>
        <v>47301</v>
      </c>
      <c r="C24" s="1">
        <f>4739+658+95</f>
        <v>5492</v>
      </c>
      <c r="D24" s="1">
        <f>14234</f>
        <v>14234</v>
      </c>
      <c r="E24" s="1">
        <v>27575</v>
      </c>
      <c r="F24" s="1">
        <f t="shared" si="0"/>
        <v>19726</v>
      </c>
      <c r="G24" s="9">
        <f t="shared" si="7"/>
        <v>2771.2643882136222</v>
      </c>
      <c r="H24" s="9">
        <f t="shared" si="1"/>
        <v>2771.2643882136222</v>
      </c>
      <c r="I24" s="1">
        <v>323</v>
      </c>
      <c r="J24" s="4">
        <v>1017</v>
      </c>
      <c r="K24" s="1">
        <v>1624</v>
      </c>
      <c r="L24" s="1">
        <v>306</v>
      </c>
      <c r="M24" s="1">
        <v>69</v>
      </c>
      <c r="N24" s="1">
        <f>124+162</f>
        <v>286</v>
      </c>
      <c r="O24" s="1">
        <f>555+658+95+92</f>
        <v>1400</v>
      </c>
      <c r="P24" s="1">
        <f>790</f>
        <v>790</v>
      </c>
      <c r="Q24" s="1">
        <f t="shared" si="2"/>
        <v>0</v>
      </c>
      <c r="R24" s="1">
        <f t="shared" si="3"/>
        <v>0</v>
      </c>
      <c r="S24" s="1">
        <v>4.5</v>
      </c>
      <c r="T24" s="1">
        <f t="shared" ref="T24" si="10">S24*V24*24</f>
        <v>756</v>
      </c>
      <c r="U24" s="19" t="s">
        <v>62</v>
      </c>
      <c r="V24" s="1">
        <v>7</v>
      </c>
      <c r="W24" s="1" t="s">
        <v>63</v>
      </c>
      <c r="X24" s="17" t="s">
        <v>42</v>
      </c>
      <c r="AB24">
        <f t="shared" si="4"/>
        <v>5.155632160600223E-2</v>
      </c>
    </row>
    <row r="25" spans="1:28" x14ac:dyDescent="0.25">
      <c r="A25" s="13" t="s">
        <v>43</v>
      </c>
      <c r="B25" s="1">
        <f>14030+5550</f>
        <v>19580</v>
      </c>
      <c r="C25" s="1">
        <f>4690+990+950</f>
        <v>6630</v>
      </c>
      <c r="D25" s="1">
        <f>5550+500</f>
        <v>6050</v>
      </c>
      <c r="E25" s="1">
        <f>6900</f>
        <v>6900</v>
      </c>
      <c r="F25" s="1">
        <f t="shared" si="0"/>
        <v>12680</v>
      </c>
      <c r="G25" s="9">
        <f t="shared" si="7"/>
        <v>1960.6465782897556</v>
      </c>
      <c r="H25" s="9">
        <f t="shared" si="1"/>
        <v>1960.6465782897556</v>
      </c>
      <c r="I25" s="1">
        <v>460</v>
      </c>
      <c r="J25" s="4">
        <v>1150</v>
      </c>
      <c r="K25" s="1">
        <v>750</v>
      </c>
      <c r="L25" s="1">
        <v>630</v>
      </c>
      <c r="M25" s="1">
        <v>80</v>
      </c>
      <c r="N25" s="1">
        <f>740+60</f>
        <v>800</v>
      </c>
      <c r="O25" s="1">
        <f>440+990+950</f>
        <v>2380</v>
      </c>
      <c r="P25" s="1">
        <f>840</f>
        <v>840</v>
      </c>
      <c r="Q25" s="1">
        <f t="shared" si="2"/>
        <v>0</v>
      </c>
      <c r="R25" s="1">
        <f t="shared" si="3"/>
        <v>0</v>
      </c>
      <c r="S25" s="1">
        <v>4</v>
      </c>
      <c r="T25" s="1">
        <f>0.5*V25*24</f>
        <v>84</v>
      </c>
      <c r="U25" s="19" t="s">
        <v>62</v>
      </c>
      <c r="V25" s="1">
        <v>7</v>
      </c>
      <c r="W25" s="1" t="s">
        <v>63</v>
      </c>
      <c r="AB25">
        <f t="shared" si="4"/>
        <v>9.069400630914827E-2</v>
      </c>
    </row>
    <row r="26" spans="1:28" x14ac:dyDescent="0.25">
      <c r="A26" s="13" t="s">
        <v>44</v>
      </c>
      <c r="B26" s="1">
        <f>39807+5193</f>
        <v>45000</v>
      </c>
      <c r="C26" s="1">
        <f>8260+1701+486</f>
        <v>10447</v>
      </c>
      <c r="D26" s="1">
        <f>5193+4654</f>
        <v>9847</v>
      </c>
      <c r="E26" s="1">
        <f>24706</f>
        <v>24706</v>
      </c>
      <c r="F26" s="1">
        <f t="shared" si="0"/>
        <v>20294</v>
      </c>
      <c r="G26" s="9">
        <f t="shared" si="7"/>
        <v>3023.2703425059144</v>
      </c>
      <c r="H26" s="9">
        <f t="shared" si="1"/>
        <v>3023.2703425059144</v>
      </c>
      <c r="I26" s="1">
        <v>387</v>
      </c>
      <c r="J26" s="4">
        <v>1932</v>
      </c>
      <c r="K26" s="1">
        <v>2239</v>
      </c>
      <c r="L26" s="1">
        <v>468</v>
      </c>
      <c r="M26" s="1">
        <v>306</v>
      </c>
      <c r="N26" s="1">
        <f>1119+88</f>
        <v>1207</v>
      </c>
      <c r="O26" s="1">
        <f>640+1701+486+91</f>
        <v>2918</v>
      </c>
      <c r="P26" s="1">
        <v>1377</v>
      </c>
      <c r="Q26" s="1">
        <f t="shared" si="2"/>
        <v>0</v>
      </c>
      <c r="R26" s="1">
        <f t="shared" si="3"/>
        <v>0</v>
      </c>
      <c r="S26" s="19" t="s">
        <v>62</v>
      </c>
      <c r="T26" s="19" t="s">
        <v>62</v>
      </c>
      <c r="U26" s="19" t="s">
        <v>62</v>
      </c>
      <c r="V26" s="19" t="s">
        <v>62</v>
      </c>
      <c r="W26" s="1" t="s">
        <v>63</v>
      </c>
      <c r="AB26">
        <f t="shared" si="4"/>
        <v>9.5200551887257318E-2</v>
      </c>
    </row>
    <row r="27" spans="1:28" x14ac:dyDescent="0.25">
      <c r="A27" s="13" t="s">
        <v>45</v>
      </c>
      <c r="B27" s="1">
        <f>40007+4994</f>
        <v>45001</v>
      </c>
      <c r="C27" s="1">
        <f>8627+1502+486</f>
        <v>10615</v>
      </c>
      <c r="D27" s="1">
        <f>4994+4686</f>
        <v>9680</v>
      </c>
      <c r="E27" s="1">
        <v>24706</v>
      </c>
      <c r="F27" s="1">
        <f t="shared" si="0"/>
        <v>20295</v>
      </c>
      <c r="G27" s="9">
        <f t="shared" si="7"/>
        <v>3023.1676386581948</v>
      </c>
      <c r="H27" s="9">
        <f t="shared" si="1"/>
        <v>3023.1676386581948</v>
      </c>
      <c r="I27" s="1">
        <v>387</v>
      </c>
      <c r="J27" s="4">
        <v>2203</v>
      </c>
      <c r="K27" s="1">
        <v>2239</v>
      </c>
      <c r="L27" s="1">
        <v>468</v>
      </c>
      <c r="M27" s="1">
        <v>306</v>
      </c>
      <c r="N27" s="1">
        <f>1104+88</f>
        <v>1192</v>
      </c>
      <c r="O27" s="1">
        <f>690+1502+486+91</f>
        <v>2769</v>
      </c>
      <c r="P27" s="1">
        <v>1438</v>
      </c>
      <c r="Q27" s="1">
        <f t="shared" si="2"/>
        <v>0</v>
      </c>
      <c r="R27" s="1">
        <f t="shared" si="3"/>
        <v>0</v>
      </c>
      <c r="S27" s="19" t="s">
        <v>62</v>
      </c>
      <c r="T27" s="19" t="s">
        <v>62</v>
      </c>
      <c r="U27" s="19" t="s">
        <v>62</v>
      </c>
      <c r="V27" s="19" t="s">
        <v>62</v>
      </c>
      <c r="W27" s="1" t="s">
        <v>63</v>
      </c>
      <c r="AB27">
        <f t="shared" si="4"/>
        <v>0.10854890367085489</v>
      </c>
    </row>
    <row r="28" spans="1:28" x14ac:dyDescent="0.25">
      <c r="A28" s="13" t="s">
        <v>46</v>
      </c>
      <c r="B28" s="1">
        <f>39779+5220</f>
        <v>44999</v>
      </c>
      <c r="C28" s="1">
        <f>8268+1583+486</f>
        <v>10337</v>
      </c>
      <c r="D28" s="1">
        <f>5220+4736</f>
        <v>9956</v>
      </c>
      <c r="E28" s="1">
        <v>24706</v>
      </c>
      <c r="F28" s="1">
        <f t="shared" si="0"/>
        <v>20293</v>
      </c>
      <c r="G28" s="9">
        <f t="shared" si="7"/>
        <v>3023.3730536970029</v>
      </c>
      <c r="H28" s="9">
        <f t="shared" si="1"/>
        <v>3023.3730536970029</v>
      </c>
      <c r="I28" s="1">
        <v>387</v>
      </c>
      <c r="J28" s="4">
        <v>2289</v>
      </c>
      <c r="K28" s="1">
        <v>2239</v>
      </c>
      <c r="L28" s="1">
        <v>468</v>
      </c>
      <c r="M28" s="1">
        <v>354</v>
      </c>
      <c r="N28" s="1">
        <f>1104+88</f>
        <v>1192</v>
      </c>
      <c r="O28" s="1">
        <f>257+1583+486+91</f>
        <v>2417</v>
      </c>
      <c r="P28" s="1">
        <f>1378</f>
        <v>1378</v>
      </c>
      <c r="Q28" s="1">
        <f t="shared" si="2"/>
        <v>0</v>
      </c>
      <c r="R28" s="1">
        <f t="shared" si="3"/>
        <v>0</v>
      </c>
      <c r="S28" s="19" t="s">
        <v>62</v>
      </c>
      <c r="T28" s="19" t="s">
        <v>62</v>
      </c>
      <c r="U28" s="19" t="s">
        <v>62</v>
      </c>
      <c r="V28" s="19" t="s">
        <v>62</v>
      </c>
      <c r="W28" s="1" t="s">
        <v>63</v>
      </c>
      <c r="X28" s="17" t="s">
        <v>47</v>
      </c>
      <c r="AB28">
        <f t="shared" si="4"/>
        <v>0.11279751638496033</v>
      </c>
    </row>
    <row r="29" spans="1:28" x14ac:dyDescent="0.25">
      <c r="A29" s="13" t="s">
        <v>48</v>
      </c>
      <c r="B29" s="1">
        <f>53643</f>
        <v>53643</v>
      </c>
      <c r="C29" s="1">
        <f>6753+1033+486</f>
        <v>8272</v>
      </c>
      <c r="D29" s="1">
        <v>19000</v>
      </c>
      <c r="E29" s="1">
        <v>26371</v>
      </c>
      <c r="F29" s="1">
        <f t="shared" si="0"/>
        <v>27272</v>
      </c>
      <c r="G29" s="9">
        <f t="shared" si="7"/>
        <v>2986.3670934036945</v>
      </c>
      <c r="H29" s="9">
        <f t="shared" si="1"/>
        <v>2986.3670934036945</v>
      </c>
      <c r="I29" s="1">
        <v>450</v>
      </c>
      <c r="J29" s="4">
        <v>1113</v>
      </c>
      <c r="K29" s="1">
        <v>2362</v>
      </c>
      <c r="L29" s="1">
        <v>468</v>
      </c>
      <c r="M29" s="1">
        <v>69</v>
      </c>
      <c r="N29" s="1">
        <f>281+88</f>
        <v>369</v>
      </c>
      <c r="O29" s="1">
        <f>640+1033+486+92</f>
        <v>2251</v>
      </c>
      <c r="P29" s="1">
        <v>1640</v>
      </c>
      <c r="Q29" s="1">
        <f t="shared" si="2"/>
        <v>0</v>
      </c>
      <c r="R29" s="1">
        <f t="shared" si="3"/>
        <v>0</v>
      </c>
      <c r="S29" s="19" t="s">
        <v>62</v>
      </c>
      <c r="T29" s="19" t="s">
        <v>62</v>
      </c>
      <c r="U29" s="19" t="s">
        <v>62</v>
      </c>
      <c r="V29" s="19" t="s">
        <v>62</v>
      </c>
      <c r="W29" s="1" t="s">
        <v>63</v>
      </c>
      <c r="AB29">
        <f t="shared" si="4"/>
        <v>4.0811088295687886E-2</v>
      </c>
    </row>
    <row r="30" spans="1:28" x14ac:dyDescent="0.25">
      <c r="A30" s="13" t="s">
        <v>49</v>
      </c>
      <c r="B30" s="1">
        <f>45001+4971</f>
        <v>49972</v>
      </c>
      <c r="C30" s="1">
        <f>11660+3671</f>
        <v>15331</v>
      </c>
      <c r="D30" s="1">
        <f>4971+1627</f>
        <v>6598</v>
      </c>
      <c r="E30" s="1">
        <f>28043</f>
        <v>28043</v>
      </c>
      <c r="F30" s="1">
        <f t="shared" si="0"/>
        <v>21929</v>
      </c>
      <c r="G30" s="9">
        <f t="shared" si="7"/>
        <v>3636.0156688434217</v>
      </c>
      <c r="H30" s="9">
        <f t="shared" si="1"/>
        <v>3636.0156688434217</v>
      </c>
      <c r="I30" s="1">
        <v>450</v>
      </c>
      <c r="J30" s="4">
        <v>4545</v>
      </c>
      <c r="K30" s="1">
        <v>3111</v>
      </c>
      <c r="L30" s="1">
        <v>934</v>
      </c>
      <c r="M30" s="1">
        <v>441</v>
      </c>
      <c r="N30" s="1">
        <f>156+180</f>
        <v>336</v>
      </c>
      <c r="O30" s="1">
        <f>429+3671</f>
        <v>4100</v>
      </c>
      <c r="P30" s="1">
        <v>1864</v>
      </c>
      <c r="Q30" s="1">
        <f t="shared" si="2"/>
        <v>0</v>
      </c>
      <c r="R30" s="1">
        <f t="shared" si="3"/>
        <v>0</v>
      </c>
      <c r="S30" s="19" t="s">
        <v>62</v>
      </c>
      <c r="T30" s="19" t="s">
        <v>62</v>
      </c>
      <c r="U30" s="19" t="s">
        <v>62</v>
      </c>
      <c r="V30" s="19" t="s">
        <v>62</v>
      </c>
      <c r="W30" s="1" t="s">
        <v>63</v>
      </c>
      <c r="AB30">
        <f t="shared" si="4"/>
        <v>0.20725979296821562</v>
      </c>
    </row>
    <row r="31" spans="1:28" x14ac:dyDescent="0.25">
      <c r="A31" s="13" t="s">
        <v>50</v>
      </c>
      <c r="B31" s="1">
        <f>45001+4971</f>
        <v>49972</v>
      </c>
      <c r="C31" s="1">
        <f>11448+3671</f>
        <v>15119</v>
      </c>
      <c r="D31" s="1">
        <f>4971+1839</f>
        <v>6810</v>
      </c>
      <c r="E31" s="1">
        <f>28043</f>
        <v>28043</v>
      </c>
      <c r="F31" s="1">
        <f t="shared" si="0"/>
        <v>21929</v>
      </c>
      <c r="G31" s="9">
        <f t="shared" si="7"/>
        <v>3636.0156688434217</v>
      </c>
      <c r="H31" s="9">
        <f t="shared" si="1"/>
        <v>3636.0156688434217</v>
      </c>
      <c r="I31" s="1">
        <v>450</v>
      </c>
      <c r="J31" s="4">
        <v>4430</v>
      </c>
      <c r="K31" s="1">
        <v>3182</v>
      </c>
      <c r="L31" s="1">
        <v>934</v>
      </c>
      <c r="M31" s="1">
        <v>441</v>
      </c>
      <c r="N31" s="1">
        <f>156+180</f>
        <v>336</v>
      </c>
      <c r="O31" s="1">
        <f>429+3671</f>
        <v>4100</v>
      </c>
      <c r="P31" s="1">
        <v>1696</v>
      </c>
      <c r="Q31" s="1">
        <f t="shared" si="2"/>
        <v>0</v>
      </c>
      <c r="R31" s="1">
        <f t="shared" si="3"/>
        <v>0</v>
      </c>
      <c r="S31" s="19" t="s">
        <v>62</v>
      </c>
      <c r="T31" s="19" t="s">
        <v>62</v>
      </c>
      <c r="U31" s="19" t="s">
        <v>62</v>
      </c>
      <c r="V31" s="19" t="s">
        <v>62</v>
      </c>
      <c r="W31" s="1" t="s">
        <v>63</v>
      </c>
      <c r="AB31">
        <f t="shared" si="4"/>
        <v>0.20201559578640157</v>
      </c>
    </row>
    <row r="32" spans="1:28" x14ac:dyDescent="0.25">
      <c r="A32" s="13" t="s">
        <v>51</v>
      </c>
      <c r="B32" s="1">
        <f>45000+5005</f>
        <v>50005</v>
      </c>
      <c r="C32" s="1">
        <f>13575+2445</f>
        <v>16020</v>
      </c>
      <c r="D32" s="1">
        <f>937+5005</f>
        <v>5942</v>
      </c>
      <c r="E32" s="1">
        <f>28043</f>
        <v>28043</v>
      </c>
      <c r="F32" s="1">
        <f t="shared" si="0"/>
        <v>21962</v>
      </c>
      <c r="G32" s="9">
        <f t="shared" si="7"/>
        <v>3632.2917133551828</v>
      </c>
      <c r="H32" s="9">
        <f t="shared" si="1"/>
        <v>3632.2917133551828</v>
      </c>
      <c r="I32" s="1">
        <v>450</v>
      </c>
      <c r="J32" s="4">
        <f>6565</f>
        <v>6565</v>
      </c>
      <c r="K32" s="1">
        <v>2889</v>
      </c>
      <c r="L32" s="1">
        <v>934</v>
      </c>
      <c r="M32" s="1">
        <v>441</v>
      </c>
      <c r="N32" s="1">
        <f>156+180</f>
        <v>336</v>
      </c>
      <c r="O32" s="1">
        <f>446+2445</f>
        <v>2891</v>
      </c>
      <c r="P32" s="1">
        <v>1964</v>
      </c>
      <c r="Q32" s="1">
        <f t="shared" si="2"/>
        <v>0</v>
      </c>
      <c r="R32" s="1">
        <f t="shared" si="3"/>
        <v>0</v>
      </c>
      <c r="S32" s="19" t="s">
        <v>62</v>
      </c>
      <c r="T32" s="19" t="s">
        <v>62</v>
      </c>
      <c r="U32" s="19" t="s">
        <v>62</v>
      </c>
      <c r="V32" s="19" t="s">
        <v>62</v>
      </c>
      <c r="W32" s="1" t="s">
        <v>63</v>
      </c>
      <c r="AB32">
        <f t="shared" si="4"/>
        <v>0.29892541662872235</v>
      </c>
    </row>
    <row r="33" spans="1:28" x14ac:dyDescent="0.25">
      <c r="A33" s="13" t="s">
        <v>52</v>
      </c>
      <c r="B33" s="1">
        <f>45000+4971</f>
        <v>49971</v>
      </c>
      <c r="C33" s="1">
        <f>8131+2889</f>
        <v>11020</v>
      </c>
      <c r="D33" s="1">
        <f>4971+5937</f>
        <v>10908</v>
      </c>
      <c r="E33" s="1">
        <f>28043</f>
        <v>28043</v>
      </c>
      <c r="F33" s="1">
        <f t="shared" si="0"/>
        <v>21928</v>
      </c>
      <c r="G33" s="9">
        <f t="shared" si="7"/>
        <v>3636.1286418487784</v>
      </c>
      <c r="H33" s="9">
        <f t="shared" si="1"/>
        <v>3636.1286418487784</v>
      </c>
      <c r="I33" s="1">
        <v>450</v>
      </c>
      <c r="J33" s="4">
        <v>1856</v>
      </c>
      <c r="K33" s="1">
        <v>2578</v>
      </c>
      <c r="L33" s="1">
        <v>934</v>
      </c>
      <c r="M33" s="1">
        <v>441</v>
      </c>
      <c r="N33" s="1">
        <f>156+180</f>
        <v>336</v>
      </c>
      <c r="O33" s="1">
        <f>706+2889</f>
        <v>3595</v>
      </c>
      <c r="P33" s="1">
        <v>1280</v>
      </c>
      <c r="Q33" s="1">
        <f t="shared" si="2"/>
        <v>0</v>
      </c>
      <c r="R33" s="1">
        <f t="shared" si="3"/>
        <v>0</v>
      </c>
      <c r="S33" s="19" t="s">
        <v>62</v>
      </c>
      <c r="T33" s="19" t="s">
        <v>62</v>
      </c>
      <c r="U33" s="19" t="s">
        <v>62</v>
      </c>
      <c r="V33" s="19" t="s">
        <v>62</v>
      </c>
      <c r="W33" s="1" t="s">
        <v>63</v>
      </c>
      <c r="AB33">
        <f t="shared" si="4"/>
        <v>8.4640642101422844E-2</v>
      </c>
    </row>
    <row r="34" spans="1:28" x14ac:dyDescent="0.25">
      <c r="A34" s="13" t="s">
        <v>53</v>
      </c>
      <c r="B34" s="1">
        <f>45001+4971</f>
        <v>49972</v>
      </c>
      <c r="C34" s="1">
        <f>7695+2731</f>
        <v>10426</v>
      </c>
      <c r="D34" s="1">
        <f>4971+6532</f>
        <v>11503</v>
      </c>
      <c r="E34" s="1">
        <v>28043</v>
      </c>
      <c r="F34" s="1">
        <f t="shared" si="0"/>
        <v>21929</v>
      </c>
      <c r="G34" s="9">
        <f t="shared" si="7"/>
        <v>3636.0156688434217</v>
      </c>
      <c r="H34" s="9">
        <f t="shared" si="1"/>
        <v>3636.0156688434217</v>
      </c>
      <c r="I34" s="1">
        <v>450</v>
      </c>
      <c r="J34" s="4">
        <v>1638</v>
      </c>
      <c r="K34" s="1">
        <v>2601</v>
      </c>
      <c r="L34" s="1">
        <v>934</v>
      </c>
      <c r="M34" s="1">
        <v>441</v>
      </c>
      <c r="N34" s="1">
        <f>156+180</f>
        <v>336</v>
      </c>
      <c r="O34" s="1">
        <f>548+2731</f>
        <v>3279</v>
      </c>
      <c r="P34" s="1">
        <v>1197</v>
      </c>
      <c r="Q34" s="1">
        <f t="shared" si="2"/>
        <v>0</v>
      </c>
      <c r="R34" s="1">
        <f t="shared" si="3"/>
        <v>0</v>
      </c>
      <c r="S34" s="19" t="s">
        <v>62</v>
      </c>
      <c r="T34" s="19" t="s">
        <v>62</v>
      </c>
      <c r="U34" s="19" t="s">
        <v>62</v>
      </c>
      <c r="V34" s="19" t="s">
        <v>62</v>
      </c>
      <c r="W34" s="1" t="s">
        <v>63</v>
      </c>
      <c r="AB34">
        <f t="shared" si="4"/>
        <v>7.4695608554881665E-2</v>
      </c>
    </row>
    <row r="35" spans="1:28" x14ac:dyDescent="0.25">
      <c r="A35" s="13" t="s">
        <v>54</v>
      </c>
      <c r="B35" s="1">
        <f>37668+6685</f>
        <v>44353</v>
      </c>
      <c r="C35" s="1">
        <f>11486</f>
        <v>11486</v>
      </c>
      <c r="D35" s="1">
        <v>6685</v>
      </c>
      <c r="E35" s="1">
        <v>26182</v>
      </c>
      <c r="F35" s="1">
        <f t="shared" si="0"/>
        <v>18171</v>
      </c>
      <c r="G35" s="9">
        <f t="shared" si="7"/>
        <v>3939.2942323794919</v>
      </c>
      <c r="H35" s="9">
        <f t="shared" si="1"/>
        <v>3939.2942323794919</v>
      </c>
      <c r="I35" s="1">
        <v>450</v>
      </c>
      <c r="J35" s="4">
        <v>4939</v>
      </c>
      <c r="K35" s="1">
        <v>2352</v>
      </c>
      <c r="L35" s="1">
        <v>1563</v>
      </c>
      <c r="M35" s="1">
        <v>263</v>
      </c>
      <c r="N35" s="1">
        <f>700+340</f>
        <v>1040</v>
      </c>
      <c r="O35" s="1">
        <v>1329</v>
      </c>
      <c r="P35" s="1">
        <v>0</v>
      </c>
      <c r="Q35" s="1">
        <f t="shared" si="2"/>
        <v>0</v>
      </c>
      <c r="R35" s="1">
        <f t="shared" si="3"/>
        <v>0</v>
      </c>
      <c r="S35" s="19" t="s">
        <v>62</v>
      </c>
      <c r="T35" s="19" t="s">
        <v>62</v>
      </c>
      <c r="U35" s="19" t="s">
        <v>62</v>
      </c>
      <c r="V35" s="19" t="s">
        <v>62</v>
      </c>
      <c r="W35" s="1" t="s">
        <v>63</v>
      </c>
      <c r="X35" s="17" t="s">
        <v>42</v>
      </c>
      <c r="AB35">
        <f t="shared" si="4"/>
        <v>0.27180672500137582</v>
      </c>
    </row>
    <row r="36" spans="1:28" x14ac:dyDescent="0.25">
      <c r="A36" s="1"/>
      <c r="B36" s="1"/>
      <c r="C36" s="1"/>
      <c r="D36" s="1"/>
      <c r="E36" s="1"/>
      <c r="F36" s="1"/>
      <c r="G36" s="1"/>
      <c r="H36" s="9"/>
      <c r="I36" s="9"/>
      <c r="J36" s="1"/>
      <c r="K36" s="4"/>
      <c r="L36" s="1"/>
      <c r="M36" s="1"/>
      <c r="N36" s="1"/>
      <c r="O36" s="1"/>
      <c r="P36" s="1"/>
      <c r="Q36" s="1"/>
      <c r="R36" s="1"/>
      <c r="S36" s="1"/>
    </row>
    <row r="37" spans="1:28" x14ac:dyDescent="0.25">
      <c r="A37" s="1"/>
      <c r="B37" s="1"/>
      <c r="C37" s="1"/>
      <c r="D37" s="1"/>
      <c r="E37" s="1"/>
      <c r="F37" s="1"/>
      <c r="G37" s="1"/>
      <c r="H37" s="9"/>
      <c r="I37" s="9"/>
      <c r="J37" s="1"/>
      <c r="K37" s="4"/>
      <c r="L37" s="1"/>
      <c r="M37" s="1"/>
      <c r="N37" s="1"/>
      <c r="O37" s="1"/>
      <c r="P37" s="1"/>
      <c r="Q37" s="1"/>
      <c r="R37" s="29" t="s">
        <v>69</v>
      </c>
      <c r="S37" s="28" t="s">
        <v>70</v>
      </c>
    </row>
    <row r="38" spans="1:28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4"/>
      <c r="L38" s="1"/>
      <c r="M38" s="1"/>
      <c r="N38" s="1"/>
      <c r="O38" s="1"/>
      <c r="P38" s="1"/>
      <c r="Q38" s="1"/>
      <c r="R38" s="1"/>
      <c r="S38" s="1"/>
    </row>
    <row r="39" spans="1:28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4"/>
      <c r="L39" s="1"/>
      <c r="M39" s="1"/>
      <c r="N39" s="1"/>
      <c r="O39" s="1"/>
      <c r="P39" s="1"/>
      <c r="Q39" s="1"/>
      <c r="R39" s="1"/>
      <c r="S39" s="1"/>
    </row>
    <row r="57" spans="15:15" x14ac:dyDescent="0.25">
      <c r="O57" s="17"/>
    </row>
  </sheetData>
  <conditionalFormatting sqref="Q2:Q35">
    <cfRule type="colorScale" priority="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67561-2A2B-42DC-9CFC-64E98D3091CC}">
  <dimension ref="A1:V28"/>
  <sheetViews>
    <sheetView tabSelected="1" zoomScale="85" zoomScaleNormal="85" workbookViewId="0">
      <selection activeCell="N2" sqref="N2"/>
    </sheetView>
  </sheetViews>
  <sheetFormatPr baseColWidth="10" defaultRowHeight="15" x14ac:dyDescent="0.25"/>
  <cols>
    <col min="1" max="1" width="19.28515625" bestFit="1" customWidth="1"/>
    <col min="14" max="14" width="17.85546875" bestFit="1" customWidth="1"/>
  </cols>
  <sheetData>
    <row r="1" spans="1:22" ht="15.75" thickBot="1" x14ac:dyDescent="0.3">
      <c r="A1" s="2" t="s">
        <v>21</v>
      </c>
      <c r="B1" s="3" t="s">
        <v>25</v>
      </c>
      <c r="C1" s="22" t="s">
        <v>0</v>
      </c>
      <c r="D1" s="22" t="s">
        <v>1</v>
      </c>
      <c r="E1" s="22" t="s">
        <v>2</v>
      </c>
      <c r="F1" s="3" t="s">
        <v>31</v>
      </c>
      <c r="G1" s="22" t="s">
        <v>3</v>
      </c>
      <c r="H1" s="3" t="s">
        <v>55</v>
      </c>
      <c r="I1" s="22" t="s">
        <v>4</v>
      </c>
      <c r="J1" s="24" t="s">
        <v>5</v>
      </c>
      <c r="K1" s="25" t="s">
        <v>6</v>
      </c>
      <c r="L1" s="25" t="s">
        <v>7</v>
      </c>
      <c r="M1" s="25" t="s">
        <v>8</v>
      </c>
      <c r="N1" s="25" t="s">
        <v>9</v>
      </c>
      <c r="O1" s="25" t="s">
        <v>10</v>
      </c>
      <c r="P1" s="5" t="s">
        <v>11</v>
      </c>
      <c r="Q1" s="1" t="s">
        <v>65</v>
      </c>
      <c r="R1" s="3" t="s">
        <v>66</v>
      </c>
    </row>
    <row r="2" spans="1:22" x14ac:dyDescent="0.25">
      <c r="A2" s="13" t="s">
        <v>12</v>
      </c>
      <c r="B2" s="1">
        <f>SUM(C2:E2)</f>
        <v>16194</v>
      </c>
      <c r="C2" s="1">
        <v>2373</v>
      </c>
      <c r="D2" s="1">
        <f>4795+499</f>
        <v>5294</v>
      </c>
      <c r="E2" s="1">
        <v>8527</v>
      </c>
      <c r="F2" s="6">
        <f t="shared" ref="F2:F28" si="0">B2-E2</f>
        <v>7667</v>
      </c>
      <c r="G2" s="9">
        <v>2265</v>
      </c>
      <c r="H2" s="9">
        <f t="shared" ref="H2:H28" si="1">I2*9.81*(LN(B2/(F2)))</f>
        <v>2281.2123870086598</v>
      </c>
      <c r="I2" s="1">
        <v>311</v>
      </c>
      <c r="J2" s="4">
        <v>460</v>
      </c>
      <c r="K2" s="1">
        <v>495</v>
      </c>
      <c r="L2" s="1">
        <v>366</v>
      </c>
      <c r="M2" s="1">
        <v>29</v>
      </c>
      <c r="N2" s="1">
        <v>404</v>
      </c>
      <c r="O2" s="1">
        <f>273+346</f>
        <v>619</v>
      </c>
      <c r="P2" s="1">
        <v>0</v>
      </c>
      <c r="Q2" s="21">
        <f t="shared" ref="Q2:Q28" si="2">SUM(J2:P2)-C2</f>
        <v>0</v>
      </c>
      <c r="R2" s="21">
        <f t="shared" ref="R2:R28" si="3">SUM(C2:E2)-B2</f>
        <v>0</v>
      </c>
    </row>
    <row r="3" spans="1:22" x14ac:dyDescent="0.25">
      <c r="A3" s="13" t="s">
        <v>13</v>
      </c>
      <c r="B3" s="1">
        <f t="shared" ref="B3:B5" si="4">SUM(C3:E3)</f>
        <v>5038.6000000000004</v>
      </c>
      <c r="C3" s="1">
        <f>1200.7-28.8</f>
        <v>1171.9000000000001</v>
      </c>
      <c r="D3" s="1">
        <f>473.3+28.8</f>
        <v>502.1</v>
      </c>
      <c r="E3" s="1">
        <f>3223.8+42.8+98</f>
        <v>3364.6000000000004</v>
      </c>
      <c r="F3" s="6">
        <f t="shared" si="0"/>
        <v>1674</v>
      </c>
      <c r="G3" s="9">
        <v>1910</v>
      </c>
      <c r="H3" s="9">
        <f t="shared" si="1"/>
        <v>3599.6499470379536</v>
      </c>
      <c r="I3" s="1">
        <v>333</v>
      </c>
      <c r="J3" s="4">
        <f>404.8+99.3</f>
        <v>504.1</v>
      </c>
      <c r="K3" s="1">
        <v>252.5</v>
      </c>
      <c r="L3" s="1">
        <v>125.7</v>
      </c>
      <c r="M3" s="1">
        <v>120.1</v>
      </c>
      <c r="N3" s="1">
        <v>113.5</v>
      </c>
      <c r="O3" s="1">
        <v>56</v>
      </c>
      <c r="P3" s="1">
        <v>0</v>
      </c>
      <c r="Q3" s="21">
        <f t="shared" si="2"/>
        <v>0</v>
      </c>
      <c r="R3" s="21">
        <f t="shared" si="3"/>
        <v>0</v>
      </c>
    </row>
    <row r="4" spans="1:22" x14ac:dyDescent="0.25">
      <c r="A4" s="13" t="s">
        <v>14</v>
      </c>
      <c r="B4" s="1">
        <f t="shared" si="4"/>
        <v>60075</v>
      </c>
      <c r="C4" s="1">
        <v>9823</v>
      </c>
      <c r="D4" s="1">
        <v>25000</v>
      </c>
      <c r="E4" s="1">
        <v>25252</v>
      </c>
      <c r="F4" s="6">
        <f t="shared" si="0"/>
        <v>34823</v>
      </c>
      <c r="G4" s="9">
        <v>2100</v>
      </c>
      <c r="H4" s="9">
        <f t="shared" si="1"/>
        <v>2407.296129454624</v>
      </c>
      <c r="I4" s="1">
        <v>450</v>
      </c>
      <c r="J4" s="4">
        <v>1681</v>
      </c>
      <c r="K4" s="1">
        <v>4258</v>
      </c>
      <c r="L4" s="1">
        <v>478</v>
      </c>
      <c r="M4" s="1">
        <v>934</v>
      </c>
      <c r="N4" s="1">
        <v>2017</v>
      </c>
      <c r="O4" s="1">
        <v>455</v>
      </c>
      <c r="P4" s="1">
        <v>0</v>
      </c>
      <c r="Q4" s="21">
        <f t="shared" si="2"/>
        <v>0</v>
      </c>
      <c r="R4" s="21">
        <f t="shared" si="3"/>
        <v>0</v>
      </c>
    </row>
    <row r="5" spans="1:22" x14ac:dyDescent="0.25">
      <c r="A5" s="13" t="s">
        <v>15</v>
      </c>
      <c r="B5" s="1">
        <f t="shared" si="4"/>
        <v>69298</v>
      </c>
      <c r="C5" s="1">
        <v>7899</v>
      </c>
      <c r="D5" s="1">
        <v>25000</v>
      </c>
      <c r="E5" s="1">
        <v>36399</v>
      </c>
      <c r="F5" s="6">
        <f t="shared" si="0"/>
        <v>32899</v>
      </c>
      <c r="G5" s="9">
        <v>2100</v>
      </c>
      <c r="H5" s="9">
        <f t="shared" si="1"/>
        <v>2433.6282080275387</v>
      </c>
      <c r="I5" s="1">
        <v>333</v>
      </c>
      <c r="J5" s="4">
        <v>1955</v>
      </c>
      <c r="K5" s="1">
        <v>2943</v>
      </c>
      <c r="L5" s="1">
        <v>478</v>
      </c>
      <c r="M5" s="1">
        <v>1062</v>
      </c>
      <c r="N5" s="1">
        <v>1006</v>
      </c>
      <c r="O5" s="1">
        <v>455</v>
      </c>
      <c r="P5" s="1">
        <v>0</v>
      </c>
      <c r="Q5" s="21">
        <f t="shared" si="2"/>
        <v>0</v>
      </c>
      <c r="R5" s="21">
        <f t="shared" si="3"/>
        <v>0</v>
      </c>
      <c r="U5" s="23" t="s">
        <v>67</v>
      </c>
      <c r="V5" s="26" t="s">
        <v>68</v>
      </c>
    </row>
    <row r="6" spans="1:22" x14ac:dyDescent="0.25">
      <c r="A6" s="13" t="s">
        <v>22</v>
      </c>
      <c r="B6" s="1">
        <f>SUM(C6:E6)</f>
        <v>93037</v>
      </c>
      <c r="C6" s="1">
        <f>11198+1734+60</f>
        <v>12992</v>
      </c>
      <c r="D6" s="1">
        <v>35894</v>
      </c>
      <c r="E6" s="1">
        <v>44151</v>
      </c>
      <c r="F6" s="6">
        <f t="shared" si="0"/>
        <v>48886</v>
      </c>
      <c r="G6" s="9">
        <v>3100</v>
      </c>
      <c r="H6" s="9">
        <f t="shared" si="1"/>
        <v>2840.7581489184909</v>
      </c>
      <c r="I6" s="1">
        <v>450</v>
      </c>
      <c r="J6" s="4">
        <v>1770</v>
      </c>
      <c r="K6" s="1">
        <v>4969</v>
      </c>
      <c r="L6" s="1">
        <v>385</v>
      </c>
      <c r="M6" s="1">
        <v>307</v>
      </c>
      <c r="N6" s="1">
        <v>420</v>
      </c>
      <c r="O6" s="1">
        <f>1469+1734+60</f>
        <v>3263</v>
      </c>
      <c r="P6" s="1">
        <v>1878</v>
      </c>
      <c r="Q6" s="21">
        <f t="shared" si="2"/>
        <v>0</v>
      </c>
      <c r="R6" s="21">
        <f t="shared" si="3"/>
        <v>0</v>
      </c>
    </row>
    <row r="7" spans="1:22" x14ac:dyDescent="0.25">
      <c r="A7" s="13" t="s">
        <v>17</v>
      </c>
      <c r="B7" s="1">
        <v>60935</v>
      </c>
      <c r="C7" s="1">
        <f>9050+1764+694</f>
        <v>11508</v>
      </c>
      <c r="D7" s="1">
        <f>28475-(65469-B7)</f>
        <v>23941</v>
      </c>
      <c r="E7" s="1">
        <v>25486</v>
      </c>
      <c r="F7" s="6">
        <f t="shared" si="0"/>
        <v>35449</v>
      </c>
      <c r="G7" s="9">
        <v>1900</v>
      </c>
      <c r="H7" s="9">
        <f t="shared" si="1"/>
        <v>1923.7408979293918</v>
      </c>
      <c r="I7" s="1">
        <v>362</v>
      </c>
      <c r="J7" s="4">
        <v>2015</v>
      </c>
      <c r="K7" s="1">
        <v>2425</v>
      </c>
      <c r="L7" s="1">
        <v>553</v>
      </c>
      <c r="M7" s="1">
        <v>594</v>
      </c>
      <c r="N7" s="1">
        <f>777+295</f>
        <v>1072</v>
      </c>
      <c r="O7" s="1">
        <f>883+1764+694</f>
        <v>3341</v>
      </c>
      <c r="P7" s="1">
        <v>1508</v>
      </c>
      <c r="Q7" s="21">
        <f t="shared" si="2"/>
        <v>0</v>
      </c>
      <c r="R7" s="21">
        <f t="shared" si="3"/>
        <v>0</v>
      </c>
    </row>
    <row r="8" spans="1:22" x14ac:dyDescent="0.25">
      <c r="A8" s="13" t="s">
        <v>18</v>
      </c>
      <c r="B8" s="1">
        <v>56989</v>
      </c>
      <c r="C8" s="1">
        <f>8895+1741+698</f>
        <v>11334</v>
      </c>
      <c r="D8" s="1">
        <f>26357-(61524-56989)</f>
        <v>21822</v>
      </c>
      <c r="E8" s="1">
        <v>23833</v>
      </c>
      <c r="F8" s="6">
        <f t="shared" si="0"/>
        <v>33156</v>
      </c>
      <c r="G8" s="9">
        <v>1900</v>
      </c>
      <c r="H8" s="9">
        <f t="shared" si="1"/>
        <v>1865.0157347582269</v>
      </c>
      <c r="I8" s="1">
        <v>351</v>
      </c>
      <c r="J8" s="4">
        <v>1985</v>
      </c>
      <c r="K8" s="1">
        <v>2347</v>
      </c>
      <c r="L8" s="1">
        <v>553</v>
      </c>
      <c r="M8" s="1">
        <v>594</v>
      </c>
      <c r="N8" s="1">
        <f>777+289</f>
        <v>1066</v>
      </c>
      <c r="O8" s="1">
        <f>867+1741+698</f>
        <v>3306</v>
      </c>
      <c r="P8" s="1">
        <v>1483</v>
      </c>
      <c r="Q8" s="21">
        <f t="shared" si="2"/>
        <v>0</v>
      </c>
      <c r="R8" s="21">
        <f t="shared" si="3"/>
        <v>0</v>
      </c>
    </row>
    <row r="9" spans="1:22" x14ac:dyDescent="0.25">
      <c r="A9" s="13" t="s">
        <v>19</v>
      </c>
      <c r="B9" s="1">
        <v>45807</v>
      </c>
      <c r="C9" s="1">
        <f>7164+1286+717</f>
        <v>9167</v>
      </c>
      <c r="D9" s="1">
        <f>22028-4540</f>
        <v>17488</v>
      </c>
      <c r="E9" s="1">
        <v>19152</v>
      </c>
      <c r="F9" s="6">
        <f t="shared" si="0"/>
        <v>26655</v>
      </c>
      <c r="G9" s="9">
        <v>1900</v>
      </c>
      <c r="H9" s="9">
        <f t="shared" si="1"/>
        <v>1928.1559006099681</v>
      </c>
      <c r="I9" s="1">
        <v>363</v>
      </c>
      <c r="J9" s="4">
        <v>1877</v>
      </c>
      <c r="K9" s="1">
        <v>1125</v>
      </c>
      <c r="L9" s="1">
        <v>553</v>
      </c>
      <c r="M9" s="1">
        <v>594</v>
      </c>
      <c r="N9" s="1">
        <f>777+272</f>
        <v>1049</v>
      </c>
      <c r="O9" s="1">
        <f>772+1286+717</f>
        <v>2775</v>
      </c>
      <c r="P9" s="1">
        <v>1194</v>
      </c>
      <c r="Q9" s="21">
        <f t="shared" si="2"/>
        <v>0</v>
      </c>
      <c r="R9" s="21">
        <f t="shared" si="3"/>
        <v>0</v>
      </c>
    </row>
    <row r="10" spans="1:22" x14ac:dyDescent="0.25">
      <c r="A10" s="13" t="s">
        <v>20</v>
      </c>
      <c r="B10" s="1">
        <v>43803</v>
      </c>
      <c r="C10" s="1">
        <f>7094+1264+719</f>
        <v>9077</v>
      </c>
      <c r="D10" s="1">
        <f>20956-4542</f>
        <v>16414</v>
      </c>
      <c r="E10" s="1">
        <v>18312</v>
      </c>
      <c r="F10" s="6">
        <f t="shared" si="0"/>
        <v>25491</v>
      </c>
      <c r="G10" s="9">
        <v>1900</v>
      </c>
      <c r="H10" s="9">
        <f t="shared" si="1"/>
        <v>1927.859237978244</v>
      </c>
      <c r="I10" s="1">
        <v>363</v>
      </c>
      <c r="J10" s="4">
        <v>1860</v>
      </c>
      <c r="K10" s="1">
        <v>1095</v>
      </c>
      <c r="L10" s="1">
        <v>553</v>
      </c>
      <c r="M10" s="1">
        <v>594</v>
      </c>
      <c r="N10" s="1">
        <f>777+269</f>
        <v>1046</v>
      </c>
      <c r="O10" s="1">
        <f>764+1264+719</f>
        <v>2747</v>
      </c>
      <c r="P10" s="1">
        <v>1182</v>
      </c>
      <c r="Q10" s="21">
        <f t="shared" si="2"/>
        <v>0</v>
      </c>
      <c r="R10" s="21">
        <f t="shared" si="3"/>
        <v>0</v>
      </c>
    </row>
    <row r="11" spans="1:22" x14ac:dyDescent="0.25">
      <c r="A11" s="13" t="s">
        <v>29</v>
      </c>
      <c r="B11" s="1">
        <f>35054+10808</f>
        <v>45862</v>
      </c>
      <c r="C11" s="1">
        <f>6136+1033+486</f>
        <v>7655</v>
      </c>
      <c r="D11" s="1">
        <f>10808+2294</f>
        <v>13102</v>
      </c>
      <c r="E11" s="1">
        <v>25105</v>
      </c>
      <c r="F11" s="6">
        <f t="shared" si="0"/>
        <v>20757</v>
      </c>
      <c r="G11" s="8">
        <f t="shared" ref="G11:G28" si="5">I11*9.81*(LN(B11/(F11)))</f>
        <v>3499.6096559997736</v>
      </c>
      <c r="H11" s="9">
        <f t="shared" si="1"/>
        <v>3499.6096559997736</v>
      </c>
      <c r="I11" s="1">
        <v>450</v>
      </c>
      <c r="J11" s="4">
        <v>1113</v>
      </c>
      <c r="K11" s="1">
        <v>2362</v>
      </c>
      <c r="L11" s="1">
        <v>468</v>
      </c>
      <c r="M11" s="1">
        <v>69</v>
      </c>
      <c r="N11" s="1">
        <f>281+88</f>
        <v>369</v>
      </c>
      <c r="O11" s="1">
        <f>640+92+486+1033</f>
        <v>2251</v>
      </c>
      <c r="P11" s="1">
        <v>1023</v>
      </c>
      <c r="Q11" s="21">
        <f t="shared" si="2"/>
        <v>0</v>
      </c>
      <c r="R11" s="21">
        <f t="shared" si="3"/>
        <v>0</v>
      </c>
    </row>
    <row r="12" spans="1:22" x14ac:dyDescent="0.25">
      <c r="A12" s="13" t="s">
        <v>30</v>
      </c>
      <c r="B12" s="1">
        <f>10790+39791+31330</f>
        <v>81911</v>
      </c>
      <c r="C12" s="1">
        <f>9226+500+148</f>
        <v>9874</v>
      </c>
      <c r="D12" s="1">
        <f>31330+10790+148</f>
        <v>42268</v>
      </c>
      <c r="E12" s="1">
        <v>29769</v>
      </c>
      <c r="F12" s="6">
        <f t="shared" si="0"/>
        <v>52142</v>
      </c>
      <c r="G12" s="8">
        <f t="shared" si="5"/>
        <v>1993.8642207560945</v>
      </c>
      <c r="H12" s="9">
        <f t="shared" si="1"/>
        <v>1993.8642207560945</v>
      </c>
      <c r="I12" s="1">
        <v>450</v>
      </c>
      <c r="J12" s="4">
        <v>2432</v>
      </c>
      <c r="K12" s="1">
        <v>1826</v>
      </c>
      <c r="L12" s="1">
        <v>336</v>
      </c>
      <c r="M12" s="1">
        <v>145</v>
      </c>
      <c r="N12" s="1">
        <f>1008+160</f>
        <v>1168</v>
      </c>
      <c r="O12" s="1">
        <f>1781+500+148</f>
        <v>2429</v>
      </c>
      <c r="P12" s="1">
        <v>1538</v>
      </c>
      <c r="Q12" s="21">
        <f t="shared" si="2"/>
        <v>0</v>
      </c>
      <c r="R12" s="21">
        <f t="shared" si="3"/>
        <v>0</v>
      </c>
    </row>
    <row r="13" spans="1:22" x14ac:dyDescent="0.25">
      <c r="A13" s="13" t="s">
        <v>33</v>
      </c>
      <c r="B13" s="1">
        <f>34504+7755</f>
        <v>42259</v>
      </c>
      <c r="C13" s="1">
        <f>4722+95+655</f>
        <v>5472</v>
      </c>
      <c r="D13" s="1">
        <f>7755+1590</f>
        <v>9345</v>
      </c>
      <c r="E13" s="1">
        <v>27442</v>
      </c>
      <c r="F13" s="6">
        <f t="shared" si="0"/>
        <v>14817</v>
      </c>
      <c r="G13" s="8">
        <f t="shared" si="5"/>
        <v>3320.8578885135848</v>
      </c>
      <c r="H13" s="9">
        <f t="shared" si="1"/>
        <v>3320.8578885135848</v>
      </c>
      <c r="I13" s="1">
        <v>323</v>
      </c>
      <c r="J13" s="4">
        <v>1011</v>
      </c>
      <c r="K13" s="1">
        <v>1616</v>
      </c>
      <c r="L13" s="1">
        <v>306</v>
      </c>
      <c r="M13" s="1">
        <v>69</v>
      </c>
      <c r="N13" s="1">
        <f>124+162</f>
        <v>286</v>
      </c>
      <c r="O13" s="1">
        <f>555+655+95+92</f>
        <v>1397</v>
      </c>
      <c r="P13" s="1">
        <f>787</f>
        <v>787</v>
      </c>
      <c r="Q13" s="21">
        <f t="shared" si="2"/>
        <v>0</v>
      </c>
      <c r="R13" s="21">
        <f t="shared" si="3"/>
        <v>0</v>
      </c>
    </row>
    <row r="14" spans="1:22" x14ac:dyDescent="0.25">
      <c r="A14" s="13" t="s">
        <v>34</v>
      </c>
      <c r="B14" s="1">
        <f>34018+7812</f>
        <v>41830</v>
      </c>
      <c r="C14" s="1">
        <f>5621+1968+95</f>
        <v>7684</v>
      </c>
      <c r="D14" s="1">
        <f>7812+1590</f>
        <v>9402</v>
      </c>
      <c r="E14" s="1">
        <v>24744</v>
      </c>
      <c r="F14" s="6">
        <f t="shared" si="0"/>
        <v>17086</v>
      </c>
      <c r="G14" s="8">
        <f t="shared" si="5"/>
        <v>3188.3837747817079</v>
      </c>
      <c r="H14" s="9">
        <f t="shared" si="1"/>
        <v>3188.3837747817079</v>
      </c>
      <c r="I14" s="6">
        <v>363</v>
      </c>
      <c r="J14" s="4">
        <v>1355</v>
      </c>
      <c r="K14" s="1">
        <v>2013</v>
      </c>
      <c r="L14" s="1">
        <v>306</v>
      </c>
      <c r="M14" s="1">
        <v>69</v>
      </c>
      <c r="N14" s="1">
        <f>124+141</f>
        <v>265</v>
      </c>
      <c r="O14" s="1">
        <f>584+1968+95+92</f>
        <v>2739</v>
      </c>
      <c r="P14" s="1">
        <f>937</f>
        <v>937</v>
      </c>
      <c r="Q14" s="21">
        <f t="shared" si="2"/>
        <v>0</v>
      </c>
      <c r="R14" s="21">
        <f t="shared" si="3"/>
        <v>0</v>
      </c>
    </row>
    <row r="15" spans="1:22" x14ac:dyDescent="0.25">
      <c r="A15" s="13" t="s">
        <v>35</v>
      </c>
      <c r="B15" s="1">
        <f>15154+7737</f>
        <v>22891</v>
      </c>
      <c r="C15" s="1">
        <f>2761+250+95</f>
        <v>3106</v>
      </c>
      <c r="D15" s="1">
        <f>7737+1590</f>
        <v>9327</v>
      </c>
      <c r="E15" s="1">
        <f>10458</f>
        <v>10458</v>
      </c>
      <c r="F15" s="6">
        <f t="shared" si="0"/>
        <v>12433</v>
      </c>
      <c r="G15" s="8">
        <f t="shared" si="5"/>
        <v>1934.0987736564762</v>
      </c>
      <c r="H15" s="9">
        <f t="shared" si="1"/>
        <v>1934.0987736564762</v>
      </c>
      <c r="I15" s="1">
        <v>323</v>
      </c>
      <c r="J15" s="4">
        <v>451</v>
      </c>
      <c r="K15" s="1">
        <v>677</v>
      </c>
      <c r="L15" s="1">
        <v>306</v>
      </c>
      <c r="M15" s="1">
        <v>69</v>
      </c>
      <c r="N15" s="1">
        <f>124+86</f>
        <v>210</v>
      </c>
      <c r="O15" s="1">
        <f>496+250+95+92</f>
        <v>933</v>
      </c>
      <c r="P15" s="1">
        <v>460</v>
      </c>
      <c r="Q15" s="21">
        <f t="shared" si="2"/>
        <v>0</v>
      </c>
      <c r="R15" s="21">
        <f t="shared" si="3"/>
        <v>0</v>
      </c>
    </row>
    <row r="16" spans="1:22" x14ac:dyDescent="0.25">
      <c r="A16" s="13" t="s">
        <v>36</v>
      </c>
      <c r="B16" s="1">
        <f>15472+7667</f>
        <v>23139</v>
      </c>
      <c r="C16" s="1">
        <f>3442+995+95</f>
        <v>4532</v>
      </c>
      <c r="D16" s="1">
        <f>7667+1590</f>
        <v>9257</v>
      </c>
      <c r="E16" s="1">
        <v>9350</v>
      </c>
      <c r="F16" s="6">
        <f t="shared" si="0"/>
        <v>13789</v>
      </c>
      <c r="G16" s="8">
        <f t="shared" si="5"/>
        <v>1843.3612424096523</v>
      </c>
      <c r="H16" s="9">
        <f t="shared" si="1"/>
        <v>1843.3612424096523</v>
      </c>
      <c r="I16" s="6">
        <v>363</v>
      </c>
      <c r="J16" s="4">
        <v>717</v>
      </c>
      <c r="K16" s="1">
        <v>955</v>
      </c>
      <c r="L16" s="1">
        <v>306</v>
      </c>
      <c r="M16" s="1">
        <v>69</v>
      </c>
      <c r="N16" s="1">
        <f>124+95</f>
        <v>219</v>
      </c>
      <c r="O16" s="1">
        <f>510+995+95+92</f>
        <v>1692</v>
      </c>
      <c r="P16" s="1">
        <v>574</v>
      </c>
      <c r="Q16" s="21">
        <f t="shared" si="2"/>
        <v>0</v>
      </c>
      <c r="R16" s="21">
        <f t="shared" si="3"/>
        <v>0</v>
      </c>
    </row>
    <row r="17" spans="1:18" x14ac:dyDescent="0.25">
      <c r="A17" s="13" t="s">
        <v>37</v>
      </c>
      <c r="B17" s="1">
        <f>13564+9600</f>
        <v>23164</v>
      </c>
      <c r="C17" s="1">
        <f>2761+250+95</f>
        <v>3106</v>
      </c>
      <c r="D17" s="1">
        <v>9600</v>
      </c>
      <c r="E17" s="1">
        <v>10458</v>
      </c>
      <c r="F17" s="6">
        <f t="shared" si="0"/>
        <v>12706</v>
      </c>
      <c r="G17" s="8">
        <f t="shared" si="5"/>
        <v>1902.8416147795385</v>
      </c>
      <c r="H17" s="9">
        <f t="shared" si="1"/>
        <v>1902.8416147795385</v>
      </c>
      <c r="I17" s="1">
        <v>323</v>
      </c>
      <c r="J17" s="4">
        <v>451</v>
      </c>
      <c r="K17" s="1">
        <v>677</v>
      </c>
      <c r="L17" s="1">
        <v>306</v>
      </c>
      <c r="M17" s="1">
        <v>69</v>
      </c>
      <c r="N17" s="1">
        <f>124+86</f>
        <v>210</v>
      </c>
      <c r="O17" s="1">
        <f>496+250+95+92</f>
        <v>933</v>
      </c>
      <c r="P17" s="1">
        <v>460</v>
      </c>
      <c r="Q17" s="21">
        <f t="shared" si="2"/>
        <v>0</v>
      </c>
      <c r="R17" s="21">
        <f t="shared" si="3"/>
        <v>0</v>
      </c>
    </row>
    <row r="18" spans="1:18" x14ac:dyDescent="0.25">
      <c r="A18" s="13" t="s">
        <v>38</v>
      </c>
      <c r="B18" s="1">
        <f>13882+9313</f>
        <v>23195</v>
      </c>
      <c r="C18" s="1">
        <f>3442+995+95</f>
        <v>4532</v>
      </c>
      <c r="D18" s="1">
        <v>9313</v>
      </c>
      <c r="E18" s="1">
        <v>9350</v>
      </c>
      <c r="F18" s="6">
        <f t="shared" si="0"/>
        <v>13845</v>
      </c>
      <c r="G18" s="8">
        <f t="shared" si="5"/>
        <v>1837.5362833866116</v>
      </c>
      <c r="H18" s="9">
        <f t="shared" si="1"/>
        <v>1837.5362833866116</v>
      </c>
      <c r="I18" s="6">
        <v>363</v>
      </c>
      <c r="J18" s="4">
        <v>717</v>
      </c>
      <c r="K18" s="1">
        <v>955</v>
      </c>
      <c r="L18" s="1">
        <v>306</v>
      </c>
      <c r="M18" s="1">
        <v>69</v>
      </c>
      <c r="N18" s="1">
        <f>124+95</f>
        <v>219</v>
      </c>
      <c r="O18" s="1">
        <f>510+995+95+92</f>
        <v>1692</v>
      </c>
      <c r="P18" s="1">
        <v>574</v>
      </c>
      <c r="Q18" s="21">
        <f t="shared" si="2"/>
        <v>0</v>
      </c>
      <c r="R18" s="21">
        <f t="shared" si="3"/>
        <v>0</v>
      </c>
    </row>
    <row r="19" spans="1:18" x14ac:dyDescent="0.25">
      <c r="A19" s="13" t="s">
        <v>40</v>
      </c>
      <c r="B19" s="1">
        <f>13564+9600</f>
        <v>23164</v>
      </c>
      <c r="C19" s="1">
        <f>2761+250+95</f>
        <v>3106</v>
      </c>
      <c r="D19" s="1">
        <f>9600</f>
        <v>9600</v>
      </c>
      <c r="E19" s="1">
        <v>10458</v>
      </c>
      <c r="F19" s="6">
        <f t="shared" si="0"/>
        <v>12706</v>
      </c>
      <c r="G19" s="8">
        <f t="shared" si="5"/>
        <v>1902.8416147795385</v>
      </c>
      <c r="H19" s="9">
        <f t="shared" si="1"/>
        <v>1902.8416147795385</v>
      </c>
      <c r="I19" s="1">
        <v>323</v>
      </c>
      <c r="J19" s="4">
        <v>451</v>
      </c>
      <c r="K19" s="1">
        <v>677</v>
      </c>
      <c r="L19" s="1">
        <v>306</v>
      </c>
      <c r="M19" s="1">
        <v>69</v>
      </c>
      <c r="N19" s="1">
        <f>124+86</f>
        <v>210</v>
      </c>
      <c r="O19" s="1">
        <f>496+250+95+92</f>
        <v>933</v>
      </c>
      <c r="P19" s="1">
        <v>460</v>
      </c>
      <c r="Q19" s="21">
        <f t="shared" si="2"/>
        <v>0</v>
      </c>
      <c r="R19" s="21">
        <f t="shared" si="3"/>
        <v>0</v>
      </c>
    </row>
    <row r="20" spans="1:18" x14ac:dyDescent="0.25">
      <c r="A20" s="13" t="s">
        <v>41</v>
      </c>
      <c r="B20" s="1">
        <f>33067+14451</f>
        <v>47518</v>
      </c>
      <c r="C20" s="1">
        <f>4739+658+95</f>
        <v>5492</v>
      </c>
      <c r="D20" s="1">
        <v>14451</v>
      </c>
      <c r="E20" s="1">
        <v>27575</v>
      </c>
      <c r="F20" s="6">
        <f t="shared" si="0"/>
        <v>19943</v>
      </c>
      <c r="G20" s="8">
        <f t="shared" si="5"/>
        <v>3091.7944374111398</v>
      </c>
      <c r="H20" s="9">
        <f t="shared" si="1"/>
        <v>3091.7944374111398</v>
      </c>
      <c r="I20" s="6">
        <v>363</v>
      </c>
      <c r="J20" s="4">
        <v>1017</v>
      </c>
      <c r="K20" s="1">
        <v>1624</v>
      </c>
      <c r="L20" s="1">
        <v>306</v>
      </c>
      <c r="M20" s="1">
        <v>69</v>
      </c>
      <c r="N20" s="1">
        <f>124+162</f>
        <v>286</v>
      </c>
      <c r="O20" s="1">
        <f>555+658+95+92</f>
        <v>1400</v>
      </c>
      <c r="P20" s="1">
        <v>790</v>
      </c>
      <c r="Q20" s="21">
        <f t="shared" si="2"/>
        <v>0</v>
      </c>
      <c r="R20" s="21">
        <f t="shared" si="3"/>
        <v>0</v>
      </c>
    </row>
    <row r="21" spans="1:18" x14ac:dyDescent="0.25">
      <c r="A21" s="13" t="s">
        <v>57</v>
      </c>
      <c r="B21" s="1">
        <f>33067+14234</f>
        <v>47301</v>
      </c>
      <c r="C21" s="1">
        <f>4739+658+95</f>
        <v>5492</v>
      </c>
      <c r="D21" s="1">
        <f>14234</f>
        <v>14234</v>
      </c>
      <c r="E21" s="1">
        <v>27575</v>
      </c>
      <c r="F21" s="6">
        <f t="shared" si="0"/>
        <v>19726</v>
      </c>
      <c r="G21" s="8">
        <f t="shared" si="5"/>
        <v>2771.2643882136222</v>
      </c>
      <c r="H21" s="9">
        <f t="shared" si="1"/>
        <v>2771.2643882136222</v>
      </c>
      <c r="I21" s="6">
        <v>323</v>
      </c>
      <c r="J21" s="4">
        <v>1017</v>
      </c>
      <c r="K21" s="1">
        <v>1624</v>
      </c>
      <c r="L21" s="1">
        <v>306</v>
      </c>
      <c r="M21" s="1">
        <v>69</v>
      </c>
      <c r="N21" s="1">
        <f>124+162</f>
        <v>286</v>
      </c>
      <c r="O21" s="1">
        <f>555+658+95+92</f>
        <v>1400</v>
      </c>
      <c r="P21" s="1">
        <f>790</f>
        <v>790</v>
      </c>
      <c r="Q21" s="21">
        <f t="shared" si="2"/>
        <v>0</v>
      </c>
      <c r="R21" s="21">
        <f t="shared" si="3"/>
        <v>0</v>
      </c>
    </row>
    <row r="22" spans="1:18" x14ac:dyDescent="0.25">
      <c r="A22" s="13" t="s">
        <v>43</v>
      </c>
      <c r="B22" s="1">
        <f>14030+5550</f>
        <v>19580</v>
      </c>
      <c r="C22" s="1">
        <f>4690+990+950</f>
        <v>6630</v>
      </c>
      <c r="D22" s="1">
        <f>5550+500</f>
        <v>6050</v>
      </c>
      <c r="E22" s="1">
        <f>6900</f>
        <v>6900</v>
      </c>
      <c r="F22" s="6">
        <f t="shared" si="0"/>
        <v>12680</v>
      </c>
      <c r="G22" s="8">
        <f t="shared" si="5"/>
        <v>1960.6465782897556</v>
      </c>
      <c r="H22" s="9">
        <f t="shared" si="1"/>
        <v>1960.6465782897556</v>
      </c>
      <c r="I22" s="1">
        <v>460</v>
      </c>
      <c r="J22" s="4">
        <v>1150</v>
      </c>
      <c r="K22" s="1">
        <v>750</v>
      </c>
      <c r="L22" s="1">
        <v>630</v>
      </c>
      <c r="M22" s="1">
        <v>80</v>
      </c>
      <c r="N22" s="1">
        <f>740+60</f>
        <v>800</v>
      </c>
      <c r="O22" s="1">
        <f>440+990+950</f>
        <v>2380</v>
      </c>
      <c r="P22" s="1">
        <f>840</f>
        <v>840</v>
      </c>
      <c r="Q22" s="21">
        <f t="shared" si="2"/>
        <v>0</v>
      </c>
      <c r="R22" s="21">
        <f t="shared" si="3"/>
        <v>0</v>
      </c>
    </row>
    <row r="23" spans="1:18" x14ac:dyDescent="0.25">
      <c r="A23" s="13" t="s">
        <v>44</v>
      </c>
      <c r="B23" s="1">
        <f>39807+5193</f>
        <v>45000</v>
      </c>
      <c r="C23" s="1">
        <f>8260+1701+486</f>
        <v>10447</v>
      </c>
      <c r="D23" s="1">
        <f>5193+4654</f>
        <v>9847</v>
      </c>
      <c r="E23" s="1">
        <f>24706</f>
        <v>24706</v>
      </c>
      <c r="F23" s="6">
        <f t="shared" si="0"/>
        <v>20294</v>
      </c>
      <c r="G23" s="8">
        <f t="shared" si="5"/>
        <v>3023.2703425059144</v>
      </c>
      <c r="H23" s="9">
        <f t="shared" si="1"/>
        <v>3023.2703425059144</v>
      </c>
      <c r="I23" s="11">
        <v>387</v>
      </c>
      <c r="J23" s="4">
        <v>1932</v>
      </c>
      <c r="K23" s="1">
        <v>2239</v>
      </c>
      <c r="L23" s="1">
        <v>468</v>
      </c>
      <c r="M23" s="1">
        <v>306</v>
      </c>
      <c r="N23" s="1">
        <f>1119+88</f>
        <v>1207</v>
      </c>
      <c r="O23" s="1">
        <f>640+1701+486+91</f>
        <v>2918</v>
      </c>
      <c r="P23" s="1">
        <v>1377</v>
      </c>
      <c r="Q23" s="21">
        <f t="shared" si="2"/>
        <v>0</v>
      </c>
      <c r="R23" s="21">
        <f t="shared" si="3"/>
        <v>0</v>
      </c>
    </row>
    <row r="24" spans="1:18" x14ac:dyDescent="0.25">
      <c r="A24" s="13" t="s">
        <v>45</v>
      </c>
      <c r="B24" s="1">
        <f>40007+4994</f>
        <v>45001</v>
      </c>
      <c r="C24" s="1">
        <f>8627+1502+486</f>
        <v>10615</v>
      </c>
      <c r="D24" s="1">
        <f>4994+4686</f>
        <v>9680</v>
      </c>
      <c r="E24" s="1">
        <v>24706</v>
      </c>
      <c r="F24" s="6">
        <f t="shared" si="0"/>
        <v>20295</v>
      </c>
      <c r="G24" s="8">
        <f t="shared" si="5"/>
        <v>3023.1676386581948</v>
      </c>
      <c r="H24" s="9">
        <f t="shared" si="1"/>
        <v>3023.1676386581948</v>
      </c>
      <c r="I24" s="11">
        <v>387</v>
      </c>
      <c r="J24" s="4">
        <v>2203</v>
      </c>
      <c r="K24" s="1">
        <v>2239</v>
      </c>
      <c r="L24" s="1">
        <v>468</v>
      </c>
      <c r="M24" s="1">
        <v>306</v>
      </c>
      <c r="N24" s="1">
        <f>1104+88</f>
        <v>1192</v>
      </c>
      <c r="O24" s="1">
        <f>690+1502+486+91</f>
        <v>2769</v>
      </c>
      <c r="P24" s="1">
        <v>1438</v>
      </c>
      <c r="Q24" s="21">
        <f t="shared" si="2"/>
        <v>0</v>
      </c>
      <c r="R24" s="21">
        <f t="shared" si="3"/>
        <v>0</v>
      </c>
    </row>
    <row r="25" spans="1:18" x14ac:dyDescent="0.25">
      <c r="A25" s="13" t="s">
        <v>46</v>
      </c>
      <c r="B25" s="1">
        <f>39779+5220</f>
        <v>44999</v>
      </c>
      <c r="C25" s="1">
        <f>8268+1583+486</f>
        <v>10337</v>
      </c>
      <c r="D25" s="1">
        <f>5220+4736</f>
        <v>9956</v>
      </c>
      <c r="E25" s="1">
        <v>24706</v>
      </c>
      <c r="F25" s="6">
        <f t="shared" si="0"/>
        <v>20293</v>
      </c>
      <c r="G25" s="8">
        <f t="shared" si="5"/>
        <v>3023.3730536970029</v>
      </c>
      <c r="H25" s="9">
        <f t="shared" si="1"/>
        <v>3023.3730536970029</v>
      </c>
      <c r="I25" s="12">
        <v>387</v>
      </c>
      <c r="J25" s="4">
        <v>2289</v>
      </c>
      <c r="K25" s="1">
        <v>2239</v>
      </c>
      <c r="L25" s="1">
        <v>468</v>
      </c>
      <c r="M25" s="1">
        <v>354</v>
      </c>
      <c r="N25" s="1">
        <f>1104+88</f>
        <v>1192</v>
      </c>
      <c r="O25" s="1">
        <f>257+1583+486+91</f>
        <v>2417</v>
      </c>
      <c r="P25" s="1">
        <f>1378</f>
        <v>1378</v>
      </c>
      <c r="Q25" s="21">
        <f t="shared" si="2"/>
        <v>0</v>
      </c>
      <c r="R25" s="21">
        <f t="shared" si="3"/>
        <v>0</v>
      </c>
    </row>
    <row r="26" spans="1:18" x14ac:dyDescent="0.25">
      <c r="A26" s="13" t="s">
        <v>48</v>
      </c>
      <c r="B26" s="1">
        <f>53643</f>
        <v>53643</v>
      </c>
      <c r="C26" s="1">
        <f>6753+1033+486</f>
        <v>8272</v>
      </c>
      <c r="D26" s="1">
        <v>19000</v>
      </c>
      <c r="E26" s="1">
        <v>26371</v>
      </c>
      <c r="F26" s="6">
        <f t="shared" si="0"/>
        <v>27272</v>
      </c>
      <c r="G26" s="8">
        <f t="shared" si="5"/>
        <v>2986.3670934036945</v>
      </c>
      <c r="H26" s="9">
        <f t="shared" si="1"/>
        <v>2986.3670934036945</v>
      </c>
      <c r="I26" s="1">
        <v>450</v>
      </c>
      <c r="J26" s="4">
        <v>1113</v>
      </c>
      <c r="K26" s="1">
        <v>2362</v>
      </c>
      <c r="L26" s="1">
        <v>468</v>
      </c>
      <c r="M26" s="1">
        <v>69</v>
      </c>
      <c r="N26" s="1">
        <f>281+88</f>
        <v>369</v>
      </c>
      <c r="O26" s="1">
        <f>640+1033+486+92</f>
        <v>2251</v>
      </c>
      <c r="P26" s="1">
        <v>1640</v>
      </c>
      <c r="Q26" s="21">
        <f t="shared" si="2"/>
        <v>0</v>
      </c>
      <c r="R26" s="21">
        <f t="shared" si="3"/>
        <v>0</v>
      </c>
    </row>
    <row r="27" spans="1:18" x14ac:dyDescent="0.25">
      <c r="A27" s="13" t="s">
        <v>52</v>
      </c>
      <c r="B27" s="1">
        <f>45000+4971</f>
        <v>49971</v>
      </c>
      <c r="C27" s="1">
        <f>8131+2889</f>
        <v>11020</v>
      </c>
      <c r="D27" s="1">
        <f>4971+5937</f>
        <v>10908</v>
      </c>
      <c r="E27" s="1">
        <f>28043</f>
        <v>28043</v>
      </c>
      <c r="F27" s="6">
        <f t="shared" si="0"/>
        <v>21928</v>
      </c>
      <c r="G27" s="8">
        <f t="shared" si="5"/>
        <v>3636.1286418487784</v>
      </c>
      <c r="H27" s="9">
        <f t="shared" si="1"/>
        <v>3636.1286418487784</v>
      </c>
      <c r="I27" s="1">
        <v>450</v>
      </c>
      <c r="J27" s="4">
        <v>1856</v>
      </c>
      <c r="K27" s="1">
        <v>2578</v>
      </c>
      <c r="L27" s="1">
        <v>934</v>
      </c>
      <c r="M27" s="1">
        <v>441</v>
      </c>
      <c r="N27" s="1">
        <f>156+180</f>
        <v>336</v>
      </c>
      <c r="O27" s="1">
        <f>706+2889</f>
        <v>3595</v>
      </c>
      <c r="P27" s="1">
        <v>1280</v>
      </c>
      <c r="Q27" s="21">
        <f t="shared" si="2"/>
        <v>0</v>
      </c>
      <c r="R27" s="21">
        <f t="shared" si="3"/>
        <v>0</v>
      </c>
    </row>
    <row r="28" spans="1:18" x14ac:dyDescent="0.25">
      <c r="A28" s="13" t="s">
        <v>53</v>
      </c>
      <c r="B28" s="1">
        <f>45001+4971</f>
        <v>49972</v>
      </c>
      <c r="C28" s="1">
        <f>7695+2731</f>
        <v>10426</v>
      </c>
      <c r="D28" s="1">
        <f>4971+6532</f>
        <v>11503</v>
      </c>
      <c r="E28" s="1">
        <v>28043</v>
      </c>
      <c r="F28" s="6">
        <f t="shared" si="0"/>
        <v>21929</v>
      </c>
      <c r="G28" s="8">
        <f t="shared" si="5"/>
        <v>3636.0156688434217</v>
      </c>
      <c r="H28" s="9">
        <f t="shared" si="1"/>
        <v>3636.0156688434217</v>
      </c>
      <c r="I28" s="1">
        <v>450</v>
      </c>
      <c r="J28" s="4">
        <v>1638</v>
      </c>
      <c r="K28" s="1">
        <v>2601</v>
      </c>
      <c r="L28" s="1">
        <v>934</v>
      </c>
      <c r="M28" s="1">
        <v>441</v>
      </c>
      <c r="N28" s="1">
        <f>156+180</f>
        <v>336</v>
      </c>
      <c r="O28" s="1">
        <f>548+2731</f>
        <v>3279</v>
      </c>
      <c r="P28" s="1">
        <v>1197</v>
      </c>
      <c r="Q28" s="21">
        <f t="shared" si="2"/>
        <v>0</v>
      </c>
      <c r="R28" s="21">
        <f t="shared" si="3"/>
        <v>0</v>
      </c>
    </row>
  </sheetData>
  <conditionalFormatting sqref="Q2:R28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07E4B-21C2-4309-910A-73EEB4277112}">
  <dimension ref="A1:Q35"/>
  <sheetViews>
    <sheetView workbookViewId="0">
      <selection activeCell="Q16" sqref="Q16"/>
    </sheetView>
  </sheetViews>
  <sheetFormatPr baseColWidth="10" defaultRowHeight="15" x14ac:dyDescent="0.25"/>
  <cols>
    <col min="1" max="1" width="19.28515625" bestFit="1" customWidth="1"/>
    <col min="13" max="13" width="16.28515625" bestFit="1" customWidth="1"/>
  </cols>
  <sheetData>
    <row r="1" spans="1:17" ht="15.75" thickBot="1" x14ac:dyDescent="0.3">
      <c r="A1" s="2" t="s">
        <v>21</v>
      </c>
      <c r="B1" s="3" t="s">
        <v>25</v>
      </c>
      <c r="C1" s="27" t="s">
        <v>0</v>
      </c>
      <c r="D1" s="27" t="s">
        <v>1</v>
      </c>
      <c r="E1" s="27" t="s">
        <v>2</v>
      </c>
      <c r="F1" s="3" t="s">
        <v>31</v>
      </c>
      <c r="G1" s="27" t="s">
        <v>3</v>
      </c>
      <c r="H1" s="27" t="s">
        <v>4</v>
      </c>
      <c r="I1" s="24" t="s">
        <v>5</v>
      </c>
      <c r="J1" s="25" t="s">
        <v>6</v>
      </c>
      <c r="K1" s="25" t="s">
        <v>7</v>
      </c>
      <c r="L1" s="25" t="s">
        <v>8</v>
      </c>
      <c r="M1" s="25" t="s">
        <v>9</v>
      </c>
      <c r="N1" s="25" t="s">
        <v>10</v>
      </c>
      <c r="O1" s="5" t="s">
        <v>11</v>
      </c>
    </row>
    <row r="2" spans="1:17" x14ac:dyDescent="0.25">
      <c r="A2" s="13" t="s">
        <v>12</v>
      </c>
      <c r="B2" s="1">
        <f>(('Raw Data'!B2 - AVERAGEA('Raw Data'!B$2:B$35))/(AVERAGEA('Raw Data'!B$2:B$35)))^2</f>
        <v>0.40943824785790484</v>
      </c>
      <c r="C2" s="1">
        <f>(('Raw Data'!C2 - AVERAGEA('Raw Data'!C$2:C$35))/(AVERAGEA('Raw Data'!C$2:C$35)))^2</f>
        <v>0.51025741146080739</v>
      </c>
      <c r="D2" s="1">
        <f>(('Raw Data'!D2 - AVERAGEA('Raw Data'!D$2:D$35))/(AVERAGEA('Raw Data'!D$2:D$35)))^2</f>
        <v>0.39051928435047639</v>
      </c>
      <c r="E2" s="1">
        <f>(('Raw Data'!E2 - AVERAGEA('Raw Data'!E$2:E$35))/(AVERAGEA('Raw Data'!E$2:E$35)))^2</f>
        <v>0.38664650352925956</v>
      </c>
      <c r="F2" s="1">
        <f>(('Raw Data'!F2 - AVERAGEA('Raw Data'!F$2:F$35))/(AVERAGEA('Raw Data'!F$2:F$35)))^2</f>
        <v>0.43301632704121779</v>
      </c>
      <c r="G2" s="1">
        <f>(('Raw Data'!G2 - AVERAGEA('Raw Data'!G$2:G$35))/(AVERAGEA('Raw Data'!G$2:G$35)))^2</f>
        <v>2.1220817075378689E-2</v>
      </c>
      <c r="H2" s="1">
        <f>(('Raw Data'!I2 - AVERAGEA('Raw Data'!I$2:I$35))/(AVERAGEA('Raw Data'!I$2:I$35)))^2</f>
        <v>4.0667160595798814E-2</v>
      </c>
      <c r="I2" s="1">
        <f>(('Raw Data'!J2 - AVERAGEA('Raw Data'!J$2:J$35))/(AVERAGEA('Raw Data'!J$2:J$35)))^2</f>
        <v>0.5744788381228102</v>
      </c>
      <c r="J2" s="1">
        <f>(('Raw Data'!K2 - AVERAGEA('Raw Data'!K$2:K$35))/(AVERAGEA('Raw Data'!K$2:K$35)))^2</f>
        <v>0.56312024458949217</v>
      </c>
      <c r="K2" s="1">
        <f>(('Raw Data'!L2 - AVERAGEA('Raw Data'!L$2:L$35))/(AVERAGEA('Raw Data'!L$2:L$35)))^2</f>
        <v>9.173900866141417E-2</v>
      </c>
      <c r="L2" s="1">
        <f>(('Raw Data'!M2 - AVERAGEA('Raw Data'!M$2:M$35))/(AVERAGEA('Raw Data'!M$2:M$35)))^2</f>
        <v>0.82865951629830181</v>
      </c>
      <c r="M2" s="1">
        <f>(('Raw Data'!N2 - AVERAGEA('Raw Data'!N$2:N$35))/(AVERAGEA('Raw Data'!N$2:N$35)))^2</f>
        <v>0.10316491304316201</v>
      </c>
      <c r="N2" s="1">
        <f>(('Raw Data'!O2 - AVERAGEA('Raw Data'!O$2:O$35))/(AVERAGEA('Raw Data'!O$2:O$35)))^2</f>
        <v>0.48698163383194054</v>
      </c>
      <c r="O2" s="1"/>
    </row>
    <row r="3" spans="1:17" x14ac:dyDescent="0.25">
      <c r="A3" s="13" t="s">
        <v>13</v>
      </c>
      <c r="B3" s="1">
        <f>(('Raw Data'!B3 - AVERAGEA('Raw Data'!B$2:B$35))/(AVERAGEA('Raw Data'!B$2:B$35)))^2</f>
        <v>0.78845574149722053</v>
      </c>
      <c r="C3" s="1">
        <f>(('Raw Data'!C3 - AVERAGEA('Raw Data'!C$2:C$35))/(AVERAGEA('Raw Data'!C$2:C$35)))^2</f>
        <v>0.7377421297900093</v>
      </c>
      <c r="D3" s="1">
        <f>(('Raw Data'!D3 - AVERAGEA('Raw Data'!D$2:D$35))/(AVERAGEA('Raw Data'!D$2:D$35)))^2</f>
        <v>0.93011706834843411</v>
      </c>
      <c r="E3" s="1">
        <f>(('Raw Data'!E3 - AVERAGEA('Raw Data'!E$2:E$35))/(AVERAGEA('Raw Data'!E$2:E$35)))^2</f>
        <v>0.72381417523620151</v>
      </c>
      <c r="F3" s="1">
        <f>(('Raw Data'!F3 - AVERAGEA('Raw Data'!F$2:F$35))/(AVERAGEA('Raw Data'!F$2:F$35)))^2</f>
        <v>0.85624851068080887</v>
      </c>
      <c r="G3" s="1">
        <f>(('Raw Data'!G3 - AVERAGEA('Raw Data'!G$2:G$35))/(AVERAGEA('Raw Data'!G$2:G$35)))^2</f>
        <v>7.8162014676736724E-2</v>
      </c>
      <c r="H3" s="1">
        <f>(('Raw Data'!I3 - AVERAGEA('Raw Data'!I$2:I$35))/(AVERAGEA('Raw Data'!I$2:I$35)))^2</f>
        <v>2.1079225178244152E-2</v>
      </c>
      <c r="I3" s="1">
        <f>(('Raw Data'!J3 - AVERAGEA('Raw Data'!J$2:J$35))/(AVERAGEA('Raw Data'!J$2:J$35)))^2</f>
        <v>0.5398399316505843</v>
      </c>
      <c r="J3" s="1">
        <f>(('Raw Data'!K3 - AVERAGEA('Raw Data'!K$2:K$35))/(AVERAGEA('Raw Data'!K$2:K$35)))^2</f>
        <v>0.76158018138881467</v>
      </c>
      <c r="K3" s="1">
        <f>(('Raw Data'!L3 - AVERAGEA('Raw Data'!L$2:L$35))/(AVERAGEA('Raw Data'!L$2:L$35)))^2</f>
        <v>0.57848318003867927</v>
      </c>
      <c r="L3" s="1">
        <f>(('Raw Data'!M3 - AVERAGEA('Raw Data'!M$2:M$35))/(AVERAGEA('Raw Data'!M$2:M$35)))^2</f>
        <v>0.39507361533349422</v>
      </c>
      <c r="M3" s="1">
        <f>(('Raw Data'!N3 - AVERAGEA('Raw Data'!N$2:N$35))/(AVERAGEA('Raw Data'!N$2:N$35)))^2</f>
        <v>0.65495927908905749</v>
      </c>
      <c r="N3" s="1">
        <f>(('Raw Data'!O3 - AVERAGEA('Raw Data'!O$2:O$35))/(AVERAGEA('Raw Data'!O$2:O$35)))^2</f>
        <v>0.94607545441165397</v>
      </c>
      <c r="O3" s="1"/>
    </row>
    <row r="4" spans="1:17" x14ac:dyDescent="0.25">
      <c r="A4" s="13" t="s">
        <v>14</v>
      </c>
      <c r="B4" s="1">
        <f>(('Raw Data'!B4 - AVERAGEA('Raw Data'!B$2:B$35))/(AVERAGEA('Raw Data'!B$2:B$35)))^2</f>
        <v>0.11287145009488152</v>
      </c>
      <c r="C4" s="1">
        <f>(('Raw Data'!C4 - AVERAGEA('Raw Data'!C$2:C$35))/(AVERAGEA('Raw Data'!C$2:C$35)))^2</f>
        <v>3.3326592960613133E-2</v>
      </c>
      <c r="D4" s="1">
        <f>(('Raw Data'!D4 - AVERAGEA('Raw Data'!D$2:D$35))/(AVERAGEA('Raw Data'!D$2:D$35)))^2</f>
        <v>0.59486064019294449</v>
      </c>
      <c r="E4" s="1">
        <f>(('Raw Data'!E4 - AVERAGEA('Raw Data'!E$2:E$35))/(AVERAGEA('Raw Data'!E$2:E$35)))^2</f>
        <v>1.4395431984589141E-2</v>
      </c>
      <c r="F4" s="1">
        <f>(('Raw Data'!F4 - AVERAGEA('Raw Data'!F$2:F$35))/(AVERAGEA('Raw Data'!F$2:F$35)))^2</f>
        <v>0.3059865170599273</v>
      </c>
      <c r="G4" s="1">
        <f>(('Raw Data'!G4 - AVERAGEA('Raw Data'!G$2:G$35))/(AVERAGEA('Raw Data'!G$2:G$35)))^2</f>
        <v>4.3226301790053087E-2</v>
      </c>
      <c r="H4" s="1">
        <f>(('Raw Data'!I4 - AVERAGEA('Raw Data'!I$2:I$35))/(AVERAGEA('Raw Data'!I$2:I$35)))^2</f>
        <v>2.4072418618192638E-2</v>
      </c>
      <c r="I4" s="1">
        <f>(('Raw Data'!J4 - AVERAGEA('Raw Data'!J$2:J$35))/(AVERAGEA('Raw Data'!J$2:J$35)))^2</f>
        <v>1.3326978679227004E-2</v>
      </c>
      <c r="J4" s="1">
        <f>(('Raw Data'!K4 - AVERAGEA('Raw Data'!K$2:K$35))/(AVERAGEA('Raw Data'!K$2:K$35)))^2</f>
        <v>1.3154922979768022</v>
      </c>
      <c r="K4" s="1">
        <f>(('Raw Data'!L4 - AVERAGEA('Raw Data'!L$2:L$35))/(AVERAGEA('Raw Data'!L$2:L$35)))^2</f>
        <v>8.0209063817504242E-3</v>
      </c>
      <c r="L4" s="1">
        <f>(('Raw Data'!M4 - AVERAGEA('Raw Data'!M$2:M$35))/(AVERAGEA('Raw Data'!M$2:M$35)))^2</f>
        <v>3.5672674195593999</v>
      </c>
      <c r="M4" s="1">
        <f>(('Raw Data'!N4 - AVERAGEA('Raw Data'!N$2:N$35))/(AVERAGEA('Raw Data'!N$2:N$35)))^2</f>
        <v>5.7072951449231555</v>
      </c>
      <c r="N4" s="1">
        <f>(('Raw Data'!O4 - AVERAGEA('Raw Data'!O$2:O$35))/(AVERAGEA('Raw Data'!O$2:O$35)))^2</f>
        <v>0.60512191448765429</v>
      </c>
      <c r="O4" s="1"/>
      <c r="P4" s="30" t="s">
        <v>67</v>
      </c>
      <c r="Q4" s="26" t="s">
        <v>68</v>
      </c>
    </row>
    <row r="5" spans="1:17" x14ac:dyDescent="0.25">
      <c r="A5" s="13" t="s">
        <v>15</v>
      </c>
      <c r="B5" s="1">
        <f>(('Raw Data'!B5 - AVERAGEA('Raw Data'!B$2:B$35))/(AVERAGEA('Raw Data'!B$2:B$35)))^2</f>
        <v>0.29275343006562293</v>
      </c>
      <c r="C5" s="1">
        <f>(('Raw Data'!C5 - AVERAGEA('Raw Data'!C$2:C$35))/(AVERAGEA('Raw Data'!C$2:C$35)))^2</f>
        <v>2.4076422417603402E-3</v>
      </c>
      <c r="D5" s="1">
        <f>(('Raw Data'!D5 - AVERAGEA('Raw Data'!D$2:D$35))/(AVERAGEA('Raw Data'!D$2:D$35)))^2</f>
        <v>0.59486064019294449</v>
      </c>
      <c r="E5" s="1">
        <f>(('Raw Data'!E5 - AVERAGEA('Raw Data'!E$2:E$35))/(AVERAGEA('Raw Data'!E$2:E$35)))^2</f>
        <v>0.37745613692190866</v>
      </c>
      <c r="F5" s="1">
        <f>(('Raw Data'!F5 - AVERAGEA('Raw Data'!F$2:F$35))/(AVERAGEA('Raw Data'!F$2:F$35)))^2</f>
        <v>0.21841327378769645</v>
      </c>
      <c r="G5" s="1">
        <f>(('Raw Data'!G5 - AVERAGEA('Raw Data'!G$2:G$35))/(AVERAGEA('Raw Data'!G$2:G$35)))^2</f>
        <v>4.3226301790053087E-2</v>
      </c>
      <c r="H5" s="1">
        <f>(('Raw Data'!I5 - AVERAGEA('Raw Data'!I$2:I$35))/(AVERAGEA('Raw Data'!I$2:I$35)))^2</f>
        <v>2.1079225178244152E-2</v>
      </c>
      <c r="I5" s="1">
        <f>(('Raw Data'!J5 - AVERAGEA('Raw Data'!J$2:J$35))/(AVERAGEA('Raw Data'!J$2:J$35)))^2</f>
        <v>8.2591599385756806E-4</v>
      </c>
      <c r="J5" s="1">
        <f>(('Raw Data'!K5 - AVERAGEA('Raw Data'!K$2:K$35))/(AVERAGEA('Raw Data'!K$2:K$35)))^2</f>
        <v>0.23416491006761067</v>
      </c>
      <c r="K5" s="1">
        <f>(('Raw Data'!L5 - AVERAGEA('Raw Data'!L$2:L$35))/(AVERAGEA('Raw Data'!L$2:L$35)))^2</f>
        <v>8.0209063817504242E-3</v>
      </c>
      <c r="L5" s="1">
        <f>(('Raw Data'!M5 - AVERAGEA('Raw Data'!M$2:M$35))/(AVERAGEA('Raw Data'!M$2:M$35)))^2</f>
        <v>5.2194236530890823</v>
      </c>
      <c r="M5" s="1">
        <f>(('Raw Data'!N5 - AVERAGEA('Raw Data'!N$2:N$35))/(AVERAGEA('Raw Data'!N$2:N$35)))^2</f>
        <v>0.47650961093217326</v>
      </c>
      <c r="N5" s="1">
        <f>(('Raw Data'!O5 - AVERAGEA('Raw Data'!O$2:O$35))/(AVERAGEA('Raw Data'!O$2:O$35)))^2</f>
        <v>0.60512191448765429</v>
      </c>
      <c r="O5" s="1"/>
    </row>
    <row r="6" spans="1:17" x14ac:dyDescent="0.25">
      <c r="A6" s="13" t="s">
        <v>22</v>
      </c>
      <c r="B6" s="1">
        <f>(('Raw Data'!B6 - AVERAGEA('Raw Data'!B$2:B$35))/(AVERAGEA('Raw Data'!B$2:B$35)))^2</f>
        <v>1.1427203554772463</v>
      </c>
      <c r="C6" s="1">
        <f>(('Raw Data'!C6 - AVERAGEA('Raw Data'!C$2:C$35))/(AVERAGEA('Raw Data'!C$2:C$35)))^2</f>
        <v>0.31816398304584653</v>
      </c>
      <c r="D6" s="1">
        <f>(('Raw Data'!D6 - AVERAGEA('Raw Data'!D$2:D$35))/(AVERAGEA('Raw Data'!D$2:D$35)))^2</f>
        <v>2.3812243312856416</v>
      </c>
      <c r="E6" s="1">
        <f>(('Raw Data'!E6 - AVERAGEA('Raw Data'!E$2:E$35))/(AVERAGEA('Raw Data'!E$2:E$35)))^2</f>
        <v>0.91813306283915708</v>
      </c>
      <c r="F6" s="1">
        <f>(('Raw Data'!F6 - AVERAGEA('Raw Data'!F$2:F$35))/(AVERAGEA('Raw Data'!F$2:F$35)))^2</f>
        <v>1.3933261297717643</v>
      </c>
      <c r="G6" s="1">
        <f>(('Raw Data'!G6 - AVERAGEA('Raw Data'!G$2:G$35))/(AVERAGEA('Raw Data'!G$2:G$35)))^2</f>
        <v>2.8654587521342745E-2</v>
      </c>
      <c r="H6" s="1">
        <f>(('Raw Data'!I6 - AVERAGEA('Raw Data'!I$2:I$35))/(AVERAGEA('Raw Data'!I$2:I$35)))^2</f>
        <v>2.4072418618192638E-2</v>
      </c>
      <c r="I6" s="1">
        <f>(('Raw Data'!J6 - AVERAGEA('Raw Data'!J$2:J$35))/(AVERAGEA('Raw Data'!J$2:J$35)))^2</f>
        <v>4.7073219252728119E-3</v>
      </c>
      <c r="J6" s="1">
        <f>(('Raw Data'!K6 - AVERAGEA('Raw Data'!K$2:K$35))/(AVERAGEA('Raw Data'!K$2:K$35)))^2</f>
        <v>2.2663684649134392</v>
      </c>
      <c r="K6" s="1">
        <f>(('Raw Data'!L6 - AVERAGEA('Raw Data'!L$2:L$35))/(AVERAGEA('Raw Data'!L$2:L$35)))^2</f>
        <v>7.1126449027255886E-2</v>
      </c>
      <c r="L6" s="1">
        <f>(('Raw Data'!M6 - AVERAGEA('Raw Data'!M$2:M$35))/(AVERAGEA('Raw Data'!M$2:M$35)))^2</f>
        <v>2.5497764021735125E-3</v>
      </c>
      <c r="M6" s="1">
        <f>(('Raw Data'!N6 - AVERAGEA('Raw Data'!N$2:N$35))/(AVERAGEA('Raw Data'!N$2:N$35)))^2</f>
        <v>8.6618085069970915E-2</v>
      </c>
      <c r="N6" s="1">
        <f>(('Raw Data'!O6 - AVERAGEA('Raw Data'!O$2:O$35))/(AVERAGEA('Raw Data'!O$2:O$35)))^2</f>
        <v>0.35141685122558369</v>
      </c>
      <c r="O6" s="1"/>
    </row>
    <row r="7" spans="1:17" x14ac:dyDescent="0.25">
      <c r="A7" s="13" t="s">
        <v>16</v>
      </c>
      <c r="B7" s="1">
        <f>(('Raw Data'!B7 - AVERAGEA('Raw Data'!B$2:B$35))/(AVERAGEA('Raw Data'!B$2:B$35)))^2</f>
        <v>1.0620765442450288E-5</v>
      </c>
      <c r="C7" s="1">
        <f>(('Raw Data'!C7 - AVERAGEA('Raw Data'!C$2:C$35))/(AVERAGEA('Raw Data'!C$2:C$35)))^2</f>
        <v>8.6893124919906473E-2</v>
      </c>
      <c r="D7" s="1">
        <f>(('Raw Data'!D7 - AVERAGEA('Raw Data'!D$2:D$35))/(AVERAGEA('Raw Data'!D$2:D$35)))^2</f>
        <v>2.764783999390168E-2</v>
      </c>
      <c r="E7" s="1">
        <f>(('Raw Data'!E7 - AVERAGEA('Raw Data'!E$2:E$35))/(AVERAGEA('Raw Data'!E$2:E$35)))^2</f>
        <v>3.9501520758424291E-6</v>
      </c>
      <c r="F7" s="1">
        <f>(('Raw Data'!F7 - AVERAGEA('Raw Data'!F$2:F$35))/(AVERAGEA('Raw Data'!F$2:F$35)))^2</f>
        <v>2.0589395088980875E-5</v>
      </c>
      <c r="G7" s="1">
        <f>(('Raw Data'!G7 - AVERAGEA('Raw Data'!G$2:G$35))/(AVERAGEA('Raw Data'!G$2:G$35)))^2</f>
        <v>2.1773834511020107E-2</v>
      </c>
      <c r="H7" s="1">
        <f>(('Raw Data'!I7 - AVERAGEA('Raw Data'!I$2:I$35))/(AVERAGEA('Raw Data'!I$2:I$35)))^2</f>
        <v>7.3465759353337663E-4</v>
      </c>
      <c r="I7" s="1">
        <f>(('Raw Data'!J7 - AVERAGEA('Raw Data'!J$2:J$35))/(AVERAGEA('Raw Data'!J$2:J$35)))^2</f>
        <v>0.23518816843124288</v>
      </c>
      <c r="J7" s="1">
        <f>(('Raw Data'!K7 - AVERAGEA('Raw Data'!K$2:K$35))/(AVERAGEA('Raw Data'!K$2:K$35)))^2</f>
        <v>1.3954055396733023E-2</v>
      </c>
      <c r="K7" s="1">
        <f>(('Raw Data'!L7 - AVERAGEA('Raw Data'!L$2:L$35))/(AVERAGEA('Raw Data'!L$2:L$35)))^2</f>
        <v>0.3738635314742535</v>
      </c>
      <c r="L7" s="1">
        <f>(('Raw Data'!M7 - AVERAGEA('Raw Data'!M$2:M$35))/(AVERAGEA('Raw Data'!M$2:M$35)))^2</f>
        <v>2.3312946077563734</v>
      </c>
      <c r="M7" s="1">
        <f>(('Raw Data'!N7 - AVERAGEA('Raw Data'!N$2:N$35))/(AVERAGEA('Raw Data'!N$2:N$35)))^2</f>
        <v>0.99664239219815365</v>
      </c>
      <c r="N7" s="1">
        <f>(('Raw Data'!O7 - AVERAGEA('Raw Data'!O$2:O$35))/(AVERAGEA('Raw Data'!O$2:O$35)))^2</f>
        <v>0.75801857755441526</v>
      </c>
      <c r="O7" s="1"/>
    </row>
    <row r="8" spans="1:17" x14ac:dyDescent="0.25">
      <c r="A8" s="13" t="s">
        <v>17</v>
      </c>
      <c r="B8" s="1">
        <f>(('Raw Data'!B8 - AVERAGEA('Raw Data'!B$2:B$35))/(AVERAGEA('Raw Data'!B$2:B$35)))^2</f>
        <v>0.12608774976951664</v>
      </c>
      <c r="C8" s="1">
        <f>(('Raw Data'!C8 - AVERAGEA('Raw Data'!C$2:C$35))/(AVERAGEA('Raw Data'!C$2:C$35)))^2</f>
        <v>0.14853842456906283</v>
      </c>
      <c r="D8" s="1">
        <f>(('Raw Data'!D8 - AVERAGEA('Raw Data'!D$2:D$35))/(AVERAGEA('Raw Data'!D$2:D$35)))^2</f>
        <v>0.48475153894547357</v>
      </c>
      <c r="E8" s="1">
        <f>(('Raw Data'!E8 - AVERAGEA('Raw Data'!E$2:E$35))/(AVERAGEA('Raw Data'!E$2:E$35)))^2</f>
        <v>1.699356601907771E-2</v>
      </c>
      <c r="F8" s="1">
        <f>(('Raw Data'!F8 - AVERAGEA('Raw Data'!F$2:F$35))/(AVERAGEA('Raw Data'!F$2:F$35)))^2</f>
        <v>0.33765520218850725</v>
      </c>
      <c r="G8" s="1">
        <f>(('Raw Data'!G8 - AVERAGEA('Raw Data'!G$2:G$35))/(AVERAGEA('Raw Data'!G$2:G$35)))^2</f>
        <v>8.0285274993865396E-2</v>
      </c>
      <c r="H8" s="1">
        <f>(('Raw Data'!I8 - AVERAGEA('Raw Data'!I$2:I$35))/(AVERAGEA('Raw Data'!I$2:I$35)))^2</f>
        <v>5.0046678155577992E-3</v>
      </c>
      <c r="I8" s="1">
        <f>(('Raw Data'!J8 - AVERAGEA('Raw Data'!J$2:J$35))/(AVERAGEA('Raw Data'!J$2:J$35)))^2</f>
        <v>3.6374527993570317E-3</v>
      </c>
      <c r="J8" s="1">
        <f>(('Raw Data'!K8 - AVERAGEA('Raw Data'!K$2:K$35))/(AVERAGEA('Raw Data'!K$2:K$35)))^2</f>
        <v>4.9605231026342018E-2</v>
      </c>
      <c r="K8" s="1">
        <f>(('Raw Data'!L8 - AVERAGEA('Raw Data'!L$2:L$35))/(AVERAGEA('Raw Data'!L$2:L$35)))^2</f>
        <v>2.8400402231581407E-3</v>
      </c>
      <c r="L8" s="1">
        <f>(('Raw Data'!M8 - AVERAGEA('Raw Data'!M$2:M$35))/(AVERAGEA('Raw Data'!M$2:M$35)))^2</f>
        <v>0.70082413344810279</v>
      </c>
      <c r="M8" s="1">
        <f>(('Raw Data'!N8 - AVERAGEA('Raw Data'!N$2:N$35))/(AVERAGEA('Raw Data'!N$2:N$35)))^2</f>
        <v>0.64190698043180239</v>
      </c>
      <c r="N8" s="1">
        <f>(('Raw Data'!O8 - AVERAGEA('Raw Data'!O$2:O$35))/(AVERAGEA('Raw Data'!O$2:O$35)))^2</f>
        <v>0.39800860052737469</v>
      </c>
      <c r="O8" s="1"/>
    </row>
    <row r="9" spans="1:17" x14ac:dyDescent="0.25">
      <c r="A9" s="13" t="s">
        <v>18</v>
      </c>
      <c r="B9" s="1">
        <f>(('Raw Data'!B9 - AVERAGEA('Raw Data'!B$2:B$35))/(AVERAGEA('Raw Data'!B$2:B$35)))^2</f>
        <v>7.1468641299607352E-2</v>
      </c>
      <c r="C9" s="1">
        <f>(('Raw Data'!C9 - AVERAGEA('Raw Data'!C$2:C$35))/(AVERAGEA('Raw Data'!C$2:C$35)))^2</f>
        <v>0.13283079583957749</v>
      </c>
      <c r="D9" s="1">
        <f>(('Raw Data'!D9 - AVERAGEA('Raw Data'!D$2:D$35))/(AVERAGEA('Raw Data'!D$2:D$35)))^2</f>
        <v>0.29823393000486448</v>
      </c>
      <c r="E9" s="1">
        <f>(('Raw Data'!E9 - AVERAGEA('Raw Data'!E$2:E$35))/(AVERAGEA('Raw Data'!E$2:E$35)))^2</f>
        <v>3.2541591381738373E-3</v>
      </c>
      <c r="F9" s="1">
        <f>(('Raw Data'!F9 - AVERAGEA('Raw Data'!F$2:F$35))/(AVERAGEA('Raw Data'!F$2:F$35)))^2</f>
        <v>0.22925869318970252</v>
      </c>
      <c r="G9" s="1">
        <f>(('Raw Data'!G9 - AVERAGEA('Raw Data'!G$2:G$35))/(AVERAGEA('Raw Data'!G$2:G$35)))^2</f>
        <v>8.0285274993865396E-2</v>
      </c>
      <c r="H9" s="1">
        <f>(('Raw Data'!I9 - AVERAGEA('Raw Data'!I$2:I$35))/(AVERAGEA('Raw Data'!I$2:I$35)))^2</f>
        <v>9.7971883661305999E-3</v>
      </c>
      <c r="I9" s="1">
        <f>(('Raw Data'!J9 - AVERAGEA('Raw Data'!J$2:J$35))/(AVERAGEA('Raw Data'!J$2:J$35)))^2</f>
        <v>1.9824779989562305E-3</v>
      </c>
      <c r="J9" s="1">
        <f>(('Raw Data'!K9 - AVERAGEA('Raw Data'!K$2:K$35))/(AVERAGEA('Raw Data'!K$2:K$35)))^2</f>
        <v>3.3633182395369242E-2</v>
      </c>
      <c r="K9" s="1">
        <f>(('Raw Data'!L9 - AVERAGEA('Raw Data'!L$2:L$35))/(AVERAGEA('Raw Data'!L$2:L$35)))^2</f>
        <v>2.8400402231581407E-3</v>
      </c>
      <c r="L9" s="1">
        <f>(('Raw Data'!M9 - AVERAGEA('Raw Data'!M$2:M$35))/(AVERAGEA('Raw Data'!M$2:M$35)))^2</f>
        <v>0.70082413344810279</v>
      </c>
      <c r="M9" s="1">
        <f>(('Raw Data'!N9 - AVERAGEA('Raw Data'!N$2:N$35))/(AVERAGEA('Raw Data'!N$2:N$35)))^2</f>
        <v>0.62585453129117052</v>
      </c>
      <c r="N9" s="1">
        <f>(('Raw Data'!O9 - AVERAGEA('Raw Data'!O$2:O$35))/(AVERAGEA('Raw Data'!O$2:O$35)))^2</f>
        <v>0.37674343242677388</v>
      </c>
      <c r="O9" s="1"/>
    </row>
    <row r="10" spans="1:17" x14ac:dyDescent="0.25">
      <c r="A10" s="13" t="s">
        <v>19</v>
      </c>
      <c r="B10" s="1">
        <f>(('Raw Data'!B10 - AVERAGEA('Raw Data'!B$2:B$35))/(AVERAGEA('Raw Data'!B$2:B$35)))^2</f>
        <v>3.4849320497402892E-4</v>
      </c>
      <c r="C10" s="1">
        <f>(('Raw Data'!C10 - AVERAGEA('Raw Data'!C$2:C$35))/(AVERAGEA('Raw Data'!C$2:C$35)))^2</f>
        <v>1.0729280302921498E-2</v>
      </c>
      <c r="D10" s="1">
        <f>(('Raw Data'!D10 - AVERAGEA('Raw Data'!D$2:D$35))/(AVERAGEA('Raw Data'!D$2:D$35)))^2</f>
        <v>5.7140242998711961E-2</v>
      </c>
      <c r="E10" s="1">
        <f>(('Raw Data'!E10 - AVERAGEA('Raw Data'!E$2:E$35))/(AVERAGEA('Raw Data'!E$2:E$35)))^2</f>
        <v>2.2670501060182025E-2</v>
      </c>
      <c r="F10" s="1">
        <f>(('Raw Data'!F10 - AVERAGEA('Raw Data'!F$2:F$35))/(AVERAGEA('Raw Data'!F$2:F$35)))^2</f>
        <v>3.5666156137770945E-2</v>
      </c>
      <c r="G10" s="1">
        <f>(('Raw Data'!G10 - AVERAGEA('Raw Data'!G$2:G$35))/(AVERAGEA('Raw Data'!G$2:G$35)))^2</f>
        <v>8.0285274993865396E-2</v>
      </c>
      <c r="H10" s="1">
        <f>(('Raw Data'!I10 - AVERAGEA('Raw Data'!I$2:I$35))/(AVERAGEA('Raw Data'!I$2:I$35)))^2</f>
        <v>4.6480583925129128E-3</v>
      </c>
      <c r="I10" s="1">
        <f>(('Raw Data'!J10 - AVERAGEA('Raw Data'!J$2:J$35))/(AVERAGEA('Raw Data'!J$2:J$35)))^2</f>
        <v>1.5142666261505779E-4</v>
      </c>
      <c r="J10" s="1">
        <f>(('Raw Data'!K10 - AVERAGEA('Raw Data'!K$2:K$35))/(AVERAGEA('Raw Data'!K$2:K$35)))^2</f>
        <v>0.18727921603058248</v>
      </c>
      <c r="K10" s="1">
        <f>(('Raw Data'!L10 - AVERAGEA('Raw Data'!L$2:L$35))/(AVERAGEA('Raw Data'!L$2:L$35)))^2</f>
        <v>2.8400402231581407E-3</v>
      </c>
      <c r="L10" s="1">
        <f>(('Raw Data'!M10 - AVERAGEA('Raw Data'!M$2:M$35))/(AVERAGEA('Raw Data'!M$2:M$35)))^2</f>
        <v>0.70082413344810279</v>
      </c>
      <c r="M10" s="1">
        <f>(('Raw Data'!N10 - AVERAGEA('Raw Data'!N$2:N$35))/(AVERAGEA('Raw Data'!N$2:N$35)))^2</f>
        <v>0.58147643354410283</v>
      </c>
      <c r="N10" s="1">
        <f>(('Raw Data'!O10 - AVERAGEA('Raw Data'!O$2:O$35))/(AVERAGEA('Raw Data'!O$2:O$35)))^2</f>
        <v>0.12573505899090884</v>
      </c>
      <c r="O10" s="1"/>
    </row>
    <row r="11" spans="1:17" x14ac:dyDescent="0.25">
      <c r="A11" s="13" t="s">
        <v>20</v>
      </c>
      <c r="B11" s="1">
        <f>(('Raw Data'!B11 - AVERAGEA('Raw Data'!B$2:B$35))/(AVERAGEA('Raw Data'!B$2:B$35)))^2</f>
        <v>6.7068051646403191E-4</v>
      </c>
      <c r="C11" s="1">
        <f>(('Raw Data'!C11 - AVERAGEA('Raw Data'!C$2:C$35))/(AVERAGEA('Raw Data'!C$2:C$35)))^2</f>
        <v>8.6020917513536469E-3</v>
      </c>
      <c r="D11" s="1">
        <f>(('Raw Data'!D11 - AVERAGEA('Raw Data'!D$2:D$35))/(AVERAGEA('Raw Data'!D$2:D$35)))^2</f>
        <v>2.6551530853225452E-2</v>
      </c>
      <c r="E11" s="1">
        <f>(('Raw Data'!E11 - AVERAGEA('Raw Data'!E$2:E$35))/(AVERAGEA('Raw Data'!E$2:E$35)))^2</f>
        <v>3.5277511627861087E-2</v>
      </c>
      <c r="F11" s="1">
        <f>(('Raw Data'!F11 - AVERAGEA('Raw Data'!F$2:F$35))/(AVERAGEA('Raw Data'!F$2:F$35)))^2</f>
        <v>1.8752187544800569E-2</v>
      </c>
      <c r="G11" s="1">
        <f>(('Raw Data'!G11 - AVERAGEA('Raw Data'!G$2:G$35))/(AVERAGEA('Raw Data'!G$2:G$35)))^2</f>
        <v>8.0285274993865396E-2</v>
      </c>
      <c r="H11" s="1">
        <f>(('Raw Data'!I11 - AVERAGEA('Raw Data'!I$2:I$35))/(AVERAGEA('Raw Data'!I$2:I$35)))^2</f>
        <v>4.6480583925129128E-3</v>
      </c>
      <c r="I11" s="1">
        <f>(('Raw Data'!J11 - AVERAGEA('Raw Data'!J$2:J$35))/(AVERAGEA('Raw Data'!J$2:J$35)))^2</f>
        <v>4.5160961338563949E-4</v>
      </c>
      <c r="J11" s="1">
        <f>(('Raw Data'!K11 - AVERAGEA('Raw Data'!K$2:K$35))/(AVERAGEA('Raw Data'!K$2:K$35)))^2</f>
        <v>0.20060021101454414</v>
      </c>
      <c r="K11" s="1">
        <f>(('Raw Data'!L11 - AVERAGEA('Raw Data'!L$2:L$35))/(AVERAGEA('Raw Data'!L$2:L$35)))^2</f>
        <v>2.8400402231581407E-3</v>
      </c>
      <c r="L11" s="1">
        <f>(('Raw Data'!M11 - AVERAGEA('Raw Data'!M$2:M$35))/(AVERAGEA('Raw Data'!M$2:M$35)))^2</f>
        <v>0.70082413344810279</v>
      </c>
      <c r="M11" s="1">
        <f>(('Raw Data'!N11 - AVERAGEA('Raw Data'!N$2:N$35))/(AVERAGEA('Raw Data'!N$2:N$35)))^2</f>
        <v>0.57381439197002537</v>
      </c>
      <c r="N11" s="1">
        <f>(('Raw Data'!O11 - AVERAGEA('Raw Data'!O$2:O$35))/(AVERAGEA('Raw Data'!O$2:O$35)))^2</f>
        <v>0.11622879739526898</v>
      </c>
      <c r="O11" s="1"/>
    </row>
    <row r="12" spans="1:17" ht="15.75" thickBot="1" x14ac:dyDescent="0.3">
      <c r="A12" s="13" t="s">
        <v>56</v>
      </c>
      <c r="B12" s="1">
        <f>(('Raw Data'!B12 - AVERAGEA('Raw Data'!B$2:B$35))/(AVERAGEA('Raw Data'!B$2:B$35)))^2</f>
        <v>3.6852762081650919E-2</v>
      </c>
      <c r="C12" s="1">
        <f>(('Raw Data'!C12 - AVERAGEA('Raw Data'!C$2:C$35))/(AVERAGEA('Raw Data'!C$2:C$35)))^2</f>
        <v>3.1799184670222133E-3</v>
      </c>
      <c r="D12" s="1">
        <f>(('Raw Data'!D12 - AVERAGEA('Raw Data'!D$2:D$35))/(AVERAGEA('Raw Data'!D$2:D$35)))^2</f>
        <v>0.22857113383573108</v>
      </c>
      <c r="E12" s="1">
        <f>(('Raw Data'!E12 - AVERAGEA('Raw Data'!E$2:E$35))/(AVERAGEA('Raw Data'!E$2:E$35)))^2</f>
        <v>3.9452241810947961E-3</v>
      </c>
      <c r="F12" s="1">
        <f>(('Raw Data'!F12 - AVERAGEA('Raw Data'!F$2:F$35))/(AVERAGEA('Raw Data'!F$2:F$35)))^2</f>
        <v>0.1035917592377562</v>
      </c>
      <c r="G12" s="1">
        <f>(('Raw Data'!G12 - AVERAGEA('Raw Data'!G$2:G$35))/(AVERAGEA('Raw Data'!G$2:G$35)))^2</f>
        <v>1.7937538836092372E-4</v>
      </c>
      <c r="H12" s="1">
        <f>(('Raw Data'!I12 - AVERAGEA('Raw Data'!I$2:I$35))/(AVERAGEA('Raw Data'!I$2:I$35)))^2</f>
        <v>2.4072418618192638E-2</v>
      </c>
      <c r="I12" s="1">
        <f>(('Raw Data'!J12 - AVERAGEA('Raw Data'!J$2:J$35))/(AVERAGEA('Raw Data'!J$2:J$35)))^2</f>
        <v>0.51621083971202364</v>
      </c>
      <c r="J12" s="1">
        <f>(('Raw Data'!K12 - AVERAGEA('Raw Data'!K$2:K$35))/(AVERAGEA('Raw Data'!K$2:K$35)))^2</f>
        <v>0.26591705381747738</v>
      </c>
      <c r="K12" s="1">
        <f>(('Raw Data'!L12 - AVERAGEA('Raw Data'!L$2:L$35))/(AVERAGEA('Raw Data'!L$2:L$35)))^2</f>
        <v>0.53488843683628162</v>
      </c>
      <c r="L12" s="1">
        <f>(('Raw Data'!M12 - AVERAGEA('Raw Data'!M$2:M$35))/(AVERAGEA('Raw Data'!M$2:M$35)))^2</f>
        <v>1.5898000393851139</v>
      </c>
      <c r="M12" s="1">
        <f>(('Raw Data'!N12 - AVERAGEA('Raw Data'!N$2:N$35))/(AVERAGEA('Raw Data'!N$2:N$35)))^2</f>
        <v>0.1583556587503708</v>
      </c>
      <c r="N12" s="1">
        <f>(('Raw Data'!O12 - AVERAGEA('Raw Data'!O$2:O$35))/(AVERAGEA('Raw Data'!O$2:O$35)))^2</f>
        <v>9.2361817626366263E-2</v>
      </c>
      <c r="O12" s="1"/>
    </row>
    <row r="13" spans="1:17" x14ac:dyDescent="0.25">
      <c r="A13" s="16" t="s">
        <v>27</v>
      </c>
      <c r="B13" s="1">
        <f>(('Raw Data'!B13 - AVERAGEA('Raw Data'!B$2:B$35))/(AVERAGEA('Raw Data'!B$2:B$35)))^2</f>
        <v>4.5856915016806915E-2</v>
      </c>
      <c r="C13" s="1">
        <f>(('Raw Data'!C13 - AVERAGEA('Raw Data'!C$2:C$35))/(AVERAGEA('Raw Data'!C$2:C$35)))^2</f>
        <v>3.7781302614624951E-2</v>
      </c>
      <c r="D13" s="1">
        <f>(('Raw Data'!D13 - AVERAGEA('Raw Data'!D$2:D$35))/(AVERAGEA('Raw Data'!D$2:D$35)))^2</f>
        <v>8.9008213638974848E-2</v>
      </c>
      <c r="E13" s="1">
        <f>(('Raw Data'!E13 - AVERAGEA('Raw Data'!E$2:E$35))/(AVERAGEA('Raw Data'!E$2:E$35)))^2</f>
        <v>9.730478643073405E-2</v>
      </c>
      <c r="F13" s="1">
        <f>(('Raw Data'!F13 - AVERAGEA('Raw Data'!F$2:F$35))/(AVERAGEA('Raw Data'!F$2:F$35)))^2</f>
        <v>1.3409056984580746E-2</v>
      </c>
      <c r="G13" s="1">
        <f>(('Raw Data'!G13 - AVERAGEA('Raw Data'!G$2:G$35))/(AVERAGEA('Raw Data'!G$2:G$35)))^2</f>
        <v>2.0569918684171153E-3</v>
      </c>
      <c r="H13" s="1">
        <f>(('Raw Data'!I13 - AVERAGEA('Raw Data'!I$2:I$35))/(AVERAGEA('Raw Data'!I$2:I$35)))^2</f>
        <v>5.0046678155577992E-3</v>
      </c>
      <c r="I13" s="1">
        <f>(('Raw Data'!J13 - AVERAGEA('Raw Data'!J$2:J$35))/(AVERAGEA('Raw Data'!J$2:J$35)))^2</f>
        <v>0.95446553312359195</v>
      </c>
      <c r="J13" s="1">
        <f>(('Raw Data'!K13 - AVERAGEA('Raw Data'!K$2:K$35))/(AVERAGEA('Raw Data'!K$2:K$35)))^2</f>
        <v>0.14850344010911215</v>
      </c>
      <c r="K13" s="1">
        <f>(('Raw Data'!L13 - AVERAGEA('Raw Data'!L$2:L$35))/(AVERAGEA('Raw Data'!L$2:L$35)))^2</f>
        <v>5.6703570651741982E-2</v>
      </c>
      <c r="L13" s="1">
        <f>(('Raw Data'!M13 - AVERAGEA('Raw Data'!M$2:M$35))/(AVERAGEA('Raw Data'!M$2:M$35)))^2</f>
        <v>0.14785795212905858</v>
      </c>
      <c r="M13" s="1">
        <f>(('Raw Data'!N13 - AVERAGEA('Raw Data'!N$2:N$35))/(AVERAGEA('Raw Data'!N$2:N$35)))^2</f>
        <v>0.99664239219815365</v>
      </c>
      <c r="N13" s="1">
        <f>(('Raw Data'!O13 - AVERAGEA('Raw Data'!O$2:O$35))/(AVERAGEA('Raw Data'!O$2:O$35)))^2</f>
        <v>0.20723853634180975</v>
      </c>
      <c r="O13" s="1"/>
    </row>
    <row r="14" spans="1:17" x14ac:dyDescent="0.25">
      <c r="A14" s="13" t="s">
        <v>29</v>
      </c>
      <c r="B14" s="1">
        <f>(('Raw Data'!B14 - AVERAGEA('Raw Data'!B$2:B$35))/(AVERAGEA('Raw Data'!B$2:B$35)))^2</f>
        <v>3.9565494433342055E-4</v>
      </c>
      <c r="C14" s="1">
        <f>(('Raw Data'!C14 - AVERAGEA('Raw Data'!C$2:C$35))/(AVERAGEA('Raw Data'!C$2:C$35)))^2</f>
        <v>6.1531498282704497E-3</v>
      </c>
      <c r="D14" s="1">
        <f>(('Raw Data'!D14 - AVERAGEA('Raw Data'!D$2:D$35))/(AVERAGEA('Raw Data'!D$2:D$35)))^2</f>
        <v>5.1425710613698826E-3</v>
      </c>
      <c r="E14" s="1">
        <f>(('Raw Data'!E14 - AVERAGEA('Raw Data'!E$2:E$35))/(AVERAGEA('Raw Data'!E$2:E$35)))^2</f>
        <v>1.2873443063005792E-2</v>
      </c>
      <c r="F14" s="1">
        <f>(('Raw Data'!F14 - AVERAGEA('Raw Data'!F$2:F$35))/(AVERAGEA('Raw Data'!F$2:F$35)))^2</f>
        <v>5.506412683197545E-3</v>
      </c>
      <c r="G14" s="1">
        <f>(('Raw Data'!G14 - AVERAGEA('Raw Data'!G$2:G$35))/(AVERAGEA('Raw Data'!G$2:G$35)))^2</f>
        <v>0.10240245448563212</v>
      </c>
      <c r="H14" s="1">
        <f>(('Raw Data'!I14 - AVERAGEA('Raw Data'!I$2:I$35))/(AVERAGEA('Raw Data'!I$2:I$35)))^2</f>
        <v>2.4072418618192638E-2</v>
      </c>
      <c r="I14" s="1">
        <f>(('Raw Data'!J14 - AVERAGEA('Raw Data'!J$2:J$35))/(AVERAGEA('Raw Data'!J$2:J$35)))^2</f>
        <v>0.17166876250515395</v>
      </c>
      <c r="J14" s="1">
        <f>(('Raw Data'!K14 - AVERAGEA('Raw Data'!K$2:K$35))/(AVERAGEA('Raw Data'!K$2:K$35)))^2</f>
        <v>3.6464479874278567E-2</v>
      </c>
      <c r="K14" s="1">
        <f>(('Raw Data'!L14 - AVERAGEA('Raw Data'!L$2:L$35))/(AVERAGEA('Raw Data'!L$2:L$35)))^2</f>
        <v>1.1795346902686344E-2</v>
      </c>
      <c r="L14" s="1">
        <f>(('Raw Data'!M14 - AVERAGEA('Raw Data'!M$2:M$35))/(AVERAGEA('Raw Data'!M$2:M$35)))^2</f>
        <v>0.6187291904414236</v>
      </c>
      <c r="M14" s="1">
        <f>(('Raw Data'!N14 - AVERAGEA('Raw Data'!N$2:N$35))/(AVERAGEA('Raw Data'!N$2:N$35)))^2</f>
        <v>0.14440037557781826</v>
      </c>
      <c r="N14" s="1">
        <f>(('Raw Data'!O14 - AVERAGEA('Raw Data'!O$2:O$35))/(AVERAGEA('Raw Data'!O$2:O$35)))^2</f>
        <v>9.7625248839865956E-3</v>
      </c>
      <c r="O14" s="1"/>
    </row>
    <row r="15" spans="1:17" x14ac:dyDescent="0.25">
      <c r="A15" s="13" t="s">
        <v>30</v>
      </c>
      <c r="B15" s="1">
        <f>(('Raw Data'!B15 - AVERAGEA('Raw Data'!B$2:B$35))/(AVERAGEA('Raw Data'!B$2:B$35)))^2</f>
        <v>0.67495772694455547</v>
      </c>
      <c r="C15" s="1">
        <f>(('Raw Data'!C15 - AVERAGEA('Raw Data'!C$2:C$35))/(AVERAGEA('Raw Data'!C$2:C$35)))^2</f>
        <v>3.5605966301366726E-2</v>
      </c>
      <c r="D15" s="1">
        <f>(('Raw Data'!D15 - AVERAGEA('Raw Data'!D$2:D$35))/(AVERAGEA('Raw Data'!D$2:D$35)))^2</f>
        <v>3.978928430862307</v>
      </c>
      <c r="E15" s="1">
        <f>(('Raw Data'!E15 - AVERAGEA('Raw Data'!E$2:E$35))/(AVERAGEA('Raw Data'!E$2:E$35)))^2</f>
        <v>0.10260471744981819</v>
      </c>
      <c r="F15" s="1">
        <f>(('Raw Data'!F15 - AVERAGEA('Raw Data'!F$2:F$35))/(AVERAGEA('Raw Data'!F$2:F$35)))^2</f>
        <v>1.7572553279441243</v>
      </c>
      <c r="G15" s="1">
        <f>(('Raw Data'!G15 - AVERAGEA('Raw Data'!G$2:G$35))/(AVERAGEA('Raw Data'!G$2:G$35)))^2</f>
        <v>6.147537997766258E-2</v>
      </c>
      <c r="H15" s="1">
        <f>(('Raw Data'!I15 - AVERAGEA('Raw Data'!I$2:I$35))/(AVERAGEA('Raw Data'!I$2:I$35)))^2</f>
        <v>2.4072418618192638E-2</v>
      </c>
      <c r="I15" s="1">
        <f>(('Raw Data'!J15 - AVERAGEA('Raw Data'!J$2:J$35))/(AVERAGEA('Raw Data'!J$2:J$35)))^2</f>
        <v>7.8254739542441221E-2</v>
      </c>
      <c r="J15" s="1">
        <f>(('Raw Data'!K15 - AVERAGEA('Raw Data'!K$2:K$35))/(AVERAGEA('Raw Data'!K$2:K$35)))^2</f>
        <v>6.2889181918909434E-3</v>
      </c>
      <c r="K15" s="1">
        <f>(('Raw Data'!L15 - AVERAGEA('Raw Data'!L$2:L$35))/(AVERAGEA('Raw Data'!L$2:L$35)))^2</f>
        <v>0.12961807050947474</v>
      </c>
      <c r="L15" s="1">
        <f>(('Raw Data'!M15 - AVERAGEA('Raw Data'!M$2:M$35))/(AVERAGEA('Raw Data'!M$2:M$35)))^2</f>
        <v>0.30419292242147555</v>
      </c>
      <c r="M15" s="1">
        <f>(('Raw Data'!N15 - AVERAGEA('Raw Data'!N$2:N$35))/(AVERAGEA('Raw Data'!N$2:N$35)))^2</f>
        <v>0.92639019690802105</v>
      </c>
      <c r="N15" s="1">
        <f>(('Raw Data'!O15 - AVERAGEA('Raw Data'!O$2:O$35))/(AVERAGEA('Raw Data'!O$2:O$35)))^2</f>
        <v>3.4482482980446649E-2</v>
      </c>
      <c r="O15" s="1"/>
    </row>
    <row r="16" spans="1:17" x14ac:dyDescent="0.25">
      <c r="A16" s="13" t="s">
        <v>33</v>
      </c>
      <c r="B16" s="1">
        <f>(('Raw Data'!B16 - AVERAGEA('Raw Data'!B$2:B$35))/(AVERAGEA('Raw Data'!B$2:B$35)))^2</f>
        <v>3.6280592870765872E-3</v>
      </c>
      <c r="C16" s="1">
        <f>(('Raw Data'!C16 - AVERAGEA('Raw Data'!C$2:C$35))/(AVERAGEA('Raw Data'!C$2:C$35)))^2</f>
        <v>0.11644852759713625</v>
      </c>
      <c r="D16" s="1">
        <f>(('Raw Data'!D16 - AVERAGEA('Raw Data'!D$2:D$35))/(AVERAGEA('Raw Data'!D$2:D$35)))^2</f>
        <v>0.11417539085461036</v>
      </c>
      <c r="E16" s="1">
        <f>(('Raw Data'!E16 - AVERAGEA('Raw Data'!E$2:E$35))/(AVERAGEA('Raw Data'!E$2:E$35)))^2</f>
        <v>4.7137713745646938E-2</v>
      </c>
      <c r="F16" s="1">
        <f>(('Raw Data'!F16 - AVERAGEA('Raw Data'!F$2:F$35))/(AVERAGEA('Raw Data'!F$2:F$35)))^2</f>
        <v>0.11501494510053165</v>
      </c>
      <c r="G16" s="1">
        <f>(('Raw Data'!G16 - AVERAGEA('Raw Data'!G$2:G$35))/(AVERAGEA('Raw Data'!G$2:G$35)))^2</f>
        <v>6.3797246174144256E-2</v>
      </c>
      <c r="H16" s="1">
        <f>(('Raw Data'!I16 - AVERAGEA('Raw Data'!I$2:I$35))/(AVERAGEA('Raw Data'!I$2:I$35)))^2</f>
        <v>2.9192089552515316E-2</v>
      </c>
      <c r="I16" s="1">
        <f>(('Raw Data'!J16 - AVERAGEA('Raw Data'!J$2:J$35))/(AVERAGEA('Raw Data'!J$2:J$35)))^2</f>
        <v>0.2190264510763773</v>
      </c>
      <c r="J16" s="1">
        <f>(('Raw Data'!K16 - AVERAGEA('Raw Data'!K$2:K$35))/(AVERAGEA('Raw Data'!K$2:K$35)))^2</f>
        <v>3.4294569957088024E-2</v>
      </c>
      <c r="K16" s="1">
        <f>(('Raw Data'!L16 - AVERAGEA('Raw Data'!L$2:L$35))/(AVERAGEA('Raw Data'!L$2:L$35)))^2</f>
        <v>0.1740272324276794</v>
      </c>
      <c r="L16" s="1">
        <f>(('Raw Data'!M16 - AVERAGEA('Raw Data'!M$2:M$35))/(AVERAGEA('Raw Data'!M$2:M$35)))^2</f>
        <v>0.6187291904414236</v>
      </c>
      <c r="M16" s="1">
        <f>(('Raw Data'!N16 - AVERAGEA('Raw Data'!N$2:N$35))/(AVERAGEA('Raw Data'!N$2:N$35)))^2</f>
        <v>0.26983700606268496</v>
      </c>
      <c r="N16" s="1">
        <f>(('Raw Data'!O16 - AVERAGEA('Raw Data'!O$2:O$35))/(AVERAGEA('Raw Data'!O$2:O$35)))^2</f>
        <v>0.10116659197594145</v>
      </c>
      <c r="O16" s="1"/>
    </row>
    <row r="17" spans="1:15" x14ac:dyDescent="0.25">
      <c r="A17" s="13" t="s">
        <v>34</v>
      </c>
      <c r="B17" s="1">
        <f>(('Raw Data'!B17 - AVERAGEA('Raw Data'!B$2:B$35))/(AVERAGEA('Raw Data'!B$2:B$35)))^2</f>
        <v>4.8683534488610956E-3</v>
      </c>
      <c r="C17" s="1">
        <f>(('Raw Data'!C17 - AVERAGEA('Raw Data'!C$2:C$35))/(AVERAGEA('Raw Data'!C$2:C$35)))^2</f>
        <v>5.6176238833733202E-3</v>
      </c>
      <c r="D17" s="1">
        <f>(('Raw Data'!D17 - AVERAGEA('Raw Data'!D$2:D$35))/(AVERAGEA('Raw Data'!D$2:D$35)))^2</f>
        <v>0.11146249397028238</v>
      </c>
      <c r="E17" s="1">
        <f>(('Raw Data'!E17 - AVERAGEA('Raw Data'!E$2:E$35))/(AVERAGEA('Raw Data'!E$2:E$35)))^2</f>
        <v>9.496514851094217E-3</v>
      </c>
      <c r="F17" s="1">
        <f>(('Raw Data'!F17 - AVERAGEA('Raw Data'!F$2:F$35))/(AVERAGEA('Raw Data'!F$2:F$35)))^2</f>
        <v>5.6614287655203523E-2</v>
      </c>
      <c r="G17" s="1">
        <f>(('Raw Data'!G17 - AVERAGEA('Raw Data'!G$2:G$35))/(AVERAGEA('Raw Data'!G$2:G$35)))^2</f>
        <v>4.1052345419571354E-2</v>
      </c>
      <c r="H17" s="1">
        <f>(('Raw Data'!I17 - AVERAGEA('Raw Data'!I$2:I$35))/(AVERAGEA('Raw Data'!I$2:I$35)))^2</f>
        <v>4.6480583925129128E-3</v>
      </c>
      <c r="I17" s="1">
        <f>(('Raw Data'!J17 - AVERAGEA('Raw Data'!J$2:J$35))/(AVERAGEA('Raw Data'!J$2:J$35)))^2</f>
        <v>8.2361362905333579E-2</v>
      </c>
      <c r="J17" s="1">
        <f>(('Raw Data'!K17 - AVERAGEA('Raw Data'!K$2:K$35))/(AVERAGEA('Raw Data'!K$2:K$35)))^2</f>
        <v>2.2456754670201545E-4</v>
      </c>
      <c r="K17" s="1">
        <f>(('Raw Data'!L17 - AVERAGEA('Raw Data'!L$2:L$35))/(AVERAGEA('Raw Data'!L$2:L$35)))^2</f>
        <v>0.1740272324276794</v>
      </c>
      <c r="L17" s="1">
        <f>(('Raw Data'!M17 - AVERAGEA('Raw Data'!M$2:M$35))/(AVERAGEA('Raw Data'!M$2:M$35)))^2</f>
        <v>0.6187291904414236</v>
      </c>
      <c r="M17" s="1">
        <f>(('Raw Data'!N17 - AVERAGEA('Raw Data'!N$2:N$35))/(AVERAGEA('Raw Data'!N$2:N$35)))^2</f>
        <v>0.30773968768009952</v>
      </c>
      <c r="N17" s="1">
        <f>(('Raw Data'!O17 - AVERAGEA('Raw Data'!O$2:O$35))/(AVERAGEA('Raw Data'!O$2:O$35)))^2</f>
        <v>0.11358134777717611</v>
      </c>
      <c r="O17" s="1"/>
    </row>
    <row r="18" spans="1:15" x14ac:dyDescent="0.25">
      <c r="A18" s="13" t="s">
        <v>35</v>
      </c>
      <c r="B18" s="1">
        <f>(('Raw Data'!B18 - AVERAGEA('Raw Data'!B$2:B$35))/(AVERAGEA('Raw Data'!B$2:B$35)))^2</f>
        <v>0.2410260031786372</v>
      </c>
      <c r="C18" s="1">
        <f>(('Raw Data'!C18 - AVERAGEA('Raw Data'!C$2:C$35))/(AVERAGEA('Raw Data'!C$2:C$35)))^2</f>
        <v>0.39197592116769819</v>
      </c>
      <c r="D18" s="1">
        <f>(('Raw Data'!D18 - AVERAGEA('Raw Data'!D$2:D$35))/(AVERAGEA('Raw Data'!D$2:D$35)))^2</f>
        <v>0.1150388719282929</v>
      </c>
      <c r="E18" s="1">
        <f>(('Raw Data'!E18 - AVERAGEA('Raw Data'!E$2:E$35))/(AVERAGEA('Raw Data'!E$2:E$35)))^2</f>
        <v>0.28747292790807522</v>
      </c>
      <c r="F18" s="1">
        <f>(('Raw Data'!F18 - AVERAGEA('Raw Data'!F$2:F$35))/(AVERAGEA('Raw Data'!F$2:F$35)))^2</f>
        <v>0.19844234239793693</v>
      </c>
      <c r="G18" s="1">
        <f>(('Raw Data'!G18 - AVERAGEA('Raw Data'!G$2:G$35))/(AVERAGEA('Raw Data'!G$2:G$35)))^2</f>
        <v>7.3162125870894101E-2</v>
      </c>
      <c r="H18" s="1">
        <f>(('Raw Data'!I18 - AVERAGEA('Raw Data'!I$2:I$35))/(AVERAGEA('Raw Data'!I$2:I$35)))^2</f>
        <v>2.9192089552515316E-2</v>
      </c>
      <c r="I18" s="1">
        <f>(('Raw Data'!J18 - AVERAGEA('Raw Data'!J$2:J$35))/(AVERAGEA('Raw Data'!J$2:J$35)))^2</f>
        <v>0.58168033130613161</v>
      </c>
      <c r="J18" s="1">
        <f>(('Raw Data'!K18 - AVERAGEA('Raw Data'!K$2:K$35))/(AVERAGEA('Raw Data'!K$2:K$35)))^2</f>
        <v>0.43381479264252426</v>
      </c>
      <c r="K18" s="1">
        <f>(('Raw Data'!L18 - AVERAGEA('Raw Data'!L$2:L$35))/(AVERAGEA('Raw Data'!L$2:L$35)))^2</f>
        <v>0.1740272324276794</v>
      </c>
      <c r="L18" s="1">
        <f>(('Raw Data'!M18 - AVERAGEA('Raw Data'!M$2:M$35))/(AVERAGEA('Raw Data'!M$2:M$35)))^2</f>
        <v>0.6187291904414236</v>
      </c>
      <c r="M18" s="1">
        <f>(('Raw Data'!N18 - AVERAGEA('Raw Data'!N$2:N$35))/(AVERAGEA('Raw Data'!N$2:N$35)))^2</f>
        <v>0.41880927405343821</v>
      </c>
      <c r="N18" s="1">
        <f>(('Raw Data'!O18 - AVERAGEA('Raw Data'!O$2:O$35))/(AVERAGEA('Raw Data'!O$2:O$35)))^2</f>
        <v>0.29655039217717916</v>
      </c>
      <c r="O18" s="1"/>
    </row>
    <row r="19" spans="1:15" x14ac:dyDescent="0.25">
      <c r="A19" s="13" t="s">
        <v>36</v>
      </c>
      <c r="B19" s="1">
        <f>(('Raw Data'!B19 - AVERAGEA('Raw Data'!B$2:B$35))/(AVERAGEA('Raw Data'!B$2:B$35)))^2</f>
        <v>0.2356412202878842</v>
      </c>
      <c r="C19" s="1">
        <f>(('Raw Data'!C19 - AVERAGEA('Raw Data'!C$2:C$35))/(AVERAGEA('Raw Data'!C$2:C$35)))^2</f>
        <v>0.20648733985002821</v>
      </c>
      <c r="D19" s="1">
        <f>(('Raw Data'!D19 - AVERAGEA('Raw Data'!D$2:D$35))/(AVERAGEA('Raw Data'!D$2:D$35)))^2</f>
        <v>0.11842777614345387</v>
      </c>
      <c r="E19" s="1">
        <f>(('Raw Data'!E19 - AVERAGEA('Raw Data'!E$2:E$35))/(AVERAGEA('Raw Data'!E$2:E$35)))^2</f>
        <v>0.34258454442383951</v>
      </c>
      <c r="F19" s="1">
        <f>(('Raw Data'!F19 - AVERAGEA('Raw Data'!F$2:F$35))/(AVERAGEA('Raw Data'!F$2:F$35)))^2</f>
        <v>0.14821649007695495</v>
      </c>
      <c r="G19" s="1">
        <f>(('Raw Data'!G19 - AVERAGEA('Raw Data'!G$2:G$35))/(AVERAGEA('Raw Data'!G$2:G$35)))^2</f>
        <v>9.2848129811120061E-2</v>
      </c>
      <c r="H19" s="1">
        <f>(('Raw Data'!I19 - AVERAGEA('Raw Data'!I$2:I$35))/(AVERAGEA('Raw Data'!I$2:I$35)))^2</f>
        <v>4.6480583925129128E-3</v>
      </c>
      <c r="I19" s="1">
        <f>(('Raw Data'!J19 - AVERAGEA('Raw Data'!J$2:J$35))/(AVERAGEA('Raw Data'!J$2:J$35)))^2</f>
        <v>0.38776536361710462</v>
      </c>
      <c r="J19" s="1">
        <f>(('Raw Data'!K19 - AVERAGEA('Raw Data'!K$2:K$35))/(AVERAGEA('Raw Data'!K$2:K$35)))^2</f>
        <v>0.26881560344424371</v>
      </c>
      <c r="K19" s="1">
        <f>(('Raw Data'!L19 - AVERAGEA('Raw Data'!L$2:L$35))/(AVERAGEA('Raw Data'!L$2:L$35)))^2</f>
        <v>0.1740272324276794</v>
      </c>
      <c r="L19" s="1">
        <f>(('Raw Data'!M19 - AVERAGEA('Raw Data'!M$2:M$35))/(AVERAGEA('Raw Data'!M$2:M$35)))^2</f>
        <v>0.6187291904414236</v>
      </c>
      <c r="M19" s="1">
        <f>(('Raw Data'!N19 - AVERAGEA('Raw Data'!N$2:N$35))/(AVERAGEA('Raw Data'!N$2:N$35)))^2</f>
        <v>0.39946547749194444</v>
      </c>
      <c r="N19" s="1">
        <f>(('Raw Data'!O19 - AVERAGEA('Raw Data'!O$2:O$35))/(AVERAGEA('Raw Data'!O$2:O$35)))^2</f>
        <v>3.0298747279173633E-2</v>
      </c>
      <c r="O19" s="1"/>
    </row>
    <row r="20" spans="1:15" x14ac:dyDescent="0.25">
      <c r="A20" s="13" t="s">
        <v>37</v>
      </c>
      <c r="B20" s="1">
        <f>(('Raw Data'!B20 - AVERAGEA('Raw Data'!B$2:B$35))/(AVERAGEA('Raw Data'!B$2:B$35)))^2</f>
        <v>0.23510177466885931</v>
      </c>
      <c r="C20" s="1">
        <f>(('Raw Data'!C20 - AVERAGEA('Raw Data'!C$2:C$35))/(AVERAGEA('Raw Data'!C$2:C$35)))^2</f>
        <v>0.39197592116769819</v>
      </c>
      <c r="D20" s="1">
        <f>(('Raw Data'!D20 - AVERAGEA('Raw Data'!D$2:D$35))/(AVERAGEA('Raw Data'!D$2:D$35)))^2</f>
        <v>0.10229219900975464</v>
      </c>
      <c r="E20" s="1">
        <f>(('Raw Data'!E20 - AVERAGEA('Raw Data'!E$2:E$35))/(AVERAGEA('Raw Data'!E$2:E$35)))^2</f>
        <v>0.28747292790807522</v>
      </c>
      <c r="F20" s="1">
        <f>(('Raw Data'!F20 - AVERAGEA('Raw Data'!F$2:F$35))/(AVERAGEA('Raw Data'!F$2:F$35)))^2</f>
        <v>0.18774234597965361</v>
      </c>
      <c r="G20" s="1">
        <f>(('Raw Data'!G20 - AVERAGEA('Raw Data'!G$2:G$35))/(AVERAGEA('Raw Data'!G$2:G$35)))^2</f>
        <v>7.9679032251277274E-2</v>
      </c>
      <c r="H20" s="1">
        <f>(('Raw Data'!I20 - AVERAGEA('Raw Data'!I$2:I$35))/(AVERAGEA('Raw Data'!I$2:I$35)))^2</f>
        <v>2.9192089552515316E-2</v>
      </c>
      <c r="I20" s="1">
        <f>(('Raw Data'!J20 - AVERAGEA('Raw Data'!J$2:J$35))/(AVERAGEA('Raw Data'!J$2:J$35)))^2</f>
        <v>0.58168033130613161</v>
      </c>
      <c r="J20" s="1">
        <f>(('Raw Data'!K20 - AVERAGEA('Raw Data'!K$2:K$35))/(AVERAGEA('Raw Data'!K$2:K$35)))^2</f>
        <v>0.43381479264252426</v>
      </c>
      <c r="K20" s="1">
        <f>(('Raw Data'!L20 - AVERAGEA('Raw Data'!L$2:L$35))/(AVERAGEA('Raw Data'!L$2:L$35)))^2</f>
        <v>0.1740272324276794</v>
      </c>
      <c r="L20" s="1">
        <f>(('Raw Data'!M20 - AVERAGEA('Raw Data'!M$2:M$35))/(AVERAGEA('Raw Data'!M$2:M$35)))^2</f>
        <v>0.6187291904414236</v>
      </c>
      <c r="M20" s="1">
        <f>(('Raw Data'!N20 - AVERAGEA('Raw Data'!N$2:N$35))/(AVERAGEA('Raw Data'!N$2:N$35)))^2</f>
        <v>0.41880927405343821</v>
      </c>
      <c r="N20" s="1">
        <f>(('Raw Data'!O20 - AVERAGEA('Raw Data'!O$2:O$35))/(AVERAGEA('Raw Data'!O$2:O$35)))^2</f>
        <v>0.29655039217717916</v>
      </c>
      <c r="O20" s="1"/>
    </row>
    <row r="21" spans="1:15" x14ac:dyDescent="0.25">
      <c r="A21" s="13" t="s">
        <v>38</v>
      </c>
      <c r="B21" s="1">
        <f>(('Raw Data'!B21 - AVERAGEA('Raw Data'!B$2:B$35))/(AVERAGEA('Raw Data'!B$2:B$35)))^2</f>
        <v>0.234433720623064</v>
      </c>
      <c r="C21" s="1">
        <f>(('Raw Data'!C21 - AVERAGEA('Raw Data'!C$2:C$35))/(AVERAGEA('Raw Data'!C$2:C$35)))^2</f>
        <v>0.20648733985002821</v>
      </c>
      <c r="D21" s="1">
        <f>(('Raw Data'!D21 - AVERAGEA('Raw Data'!D$2:D$35))/(AVERAGEA('Raw Data'!D$2:D$35)))^2</f>
        <v>0.11571271721071319</v>
      </c>
      <c r="E21" s="1">
        <f>(('Raw Data'!E21 - AVERAGEA('Raw Data'!E$2:E$35))/(AVERAGEA('Raw Data'!E$2:E$35)))^2</f>
        <v>0.34258454442383951</v>
      </c>
      <c r="F21" s="1">
        <f>(('Raw Data'!F21 - AVERAGEA('Raw Data'!F$2:F$35))/(AVERAGEA('Raw Data'!F$2:F$35)))^2</f>
        <v>0.14629956402224811</v>
      </c>
      <c r="G21" s="1">
        <f>(('Raw Data'!G21 - AVERAGEA('Raw Data'!G$2:G$35))/(AVERAGEA('Raw Data'!G$2:G$35)))^2</f>
        <v>9.4191909118604158E-2</v>
      </c>
      <c r="H21" s="1">
        <f>(('Raw Data'!I21 - AVERAGEA('Raw Data'!I$2:I$35))/(AVERAGEA('Raw Data'!I$2:I$35)))^2</f>
        <v>4.6480583925129128E-3</v>
      </c>
      <c r="I21" s="1">
        <f>(('Raw Data'!J21 - AVERAGEA('Raw Data'!J$2:J$35))/(AVERAGEA('Raw Data'!J$2:J$35)))^2</f>
        <v>0.38776536361710462</v>
      </c>
      <c r="J21" s="1">
        <f>(('Raw Data'!K21 - AVERAGEA('Raw Data'!K$2:K$35))/(AVERAGEA('Raw Data'!K$2:K$35)))^2</f>
        <v>0.26881560344424371</v>
      </c>
      <c r="K21" s="1">
        <f>(('Raw Data'!L21 - AVERAGEA('Raw Data'!L$2:L$35))/(AVERAGEA('Raw Data'!L$2:L$35)))^2</f>
        <v>0.1740272324276794</v>
      </c>
      <c r="L21" s="1">
        <f>(('Raw Data'!M21 - AVERAGEA('Raw Data'!M$2:M$35))/(AVERAGEA('Raw Data'!M$2:M$35)))^2</f>
        <v>0.6187291904414236</v>
      </c>
      <c r="M21" s="1">
        <f>(('Raw Data'!N21 - AVERAGEA('Raw Data'!N$2:N$35))/(AVERAGEA('Raw Data'!N$2:N$35)))^2</f>
        <v>0.39946547749194444</v>
      </c>
      <c r="N21" s="1">
        <f>(('Raw Data'!O21 - AVERAGEA('Raw Data'!O$2:O$35))/(AVERAGEA('Raw Data'!O$2:O$35)))^2</f>
        <v>3.0298747279173633E-2</v>
      </c>
      <c r="O21" s="1"/>
    </row>
    <row r="22" spans="1:15" x14ac:dyDescent="0.25">
      <c r="A22" s="13" t="s">
        <v>40</v>
      </c>
      <c r="B22" s="1">
        <f>(('Raw Data'!B22 - AVERAGEA('Raw Data'!B$2:B$35))/(AVERAGEA('Raw Data'!B$2:B$35)))^2</f>
        <v>0.23510177466885931</v>
      </c>
      <c r="C22" s="1">
        <f>(('Raw Data'!C22 - AVERAGEA('Raw Data'!C$2:C$35))/(AVERAGEA('Raw Data'!C$2:C$35)))^2</f>
        <v>0.39197592116769819</v>
      </c>
      <c r="D22" s="1">
        <f>(('Raw Data'!D22 - AVERAGEA('Raw Data'!D$2:D$35))/(AVERAGEA('Raw Data'!D$2:D$35)))^2</f>
        <v>0.10229219900975464</v>
      </c>
      <c r="E22" s="1">
        <f>(('Raw Data'!E22 - AVERAGEA('Raw Data'!E$2:E$35))/(AVERAGEA('Raw Data'!E$2:E$35)))^2</f>
        <v>0.28747292790807522</v>
      </c>
      <c r="F22" s="1">
        <f>(('Raw Data'!F22 - AVERAGEA('Raw Data'!F$2:F$35))/(AVERAGEA('Raw Data'!F$2:F$35)))^2</f>
        <v>0.18774234597965361</v>
      </c>
      <c r="G22" s="1">
        <f>(('Raw Data'!G22 - AVERAGEA('Raw Data'!G$2:G$35))/(AVERAGEA('Raw Data'!G$2:G$35)))^2</f>
        <v>7.9679032251277274E-2</v>
      </c>
      <c r="H22" s="1">
        <f>(('Raw Data'!I22 - AVERAGEA('Raw Data'!I$2:I$35))/(AVERAGEA('Raw Data'!I$2:I$35)))^2</f>
        <v>2.9192089552515316E-2</v>
      </c>
      <c r="I22" s="1">
        <f>(('Raw Data'!J22 - AVERAGEA('Raw Data'!J$2:J$35))/(AVERAGEA('Raw Data'!J$2:J$35)))^2</f>
        <v>0.58168033130613161</v>
      </c>
      <c r="J22" s="1">
        <f>(('Raw Data'!K22 - AVERAGEA('Raw Data'!K$2:K$35))/(AVERAGEA('Raw Data'!K$2:K$35)))^2</f>
        <v>0.43381479264252426</v>
      </c>
      <c r="K22" s="1">
        <f>(('Raw Data'!L22 - AVERAGEA('Raw Data'!L$2:L$35))/(AVERAGEA('Raw Data'!L$2:L$35)))^2</f>
        <v>0.1740272324276794</v>
      </c>
      <c r="L22" s="1">
        <f>(('Raw Data'!M22 - AVERAGEA('Raw Data'!M$2:M$35))/(AVERAGEA('Raw Data'!M$2:M$35)))^2</f>
        <v>0.6187291904414236</v>
      </c>
      <c r="M22" s="1">
        <f>(('Raw Data'!N22 - AVERAGEA('Raw Data'!N$2:N$35))/(AVERAGEA('Raw Data'!N$2:N$35)))^2</f>
        <v>0.41880927405343821</v>
      </c>
      <c r="N22" s="1">
        <f>(('Raw Data'!O22 - AVERAGEA('Raw Data'!O$2:O$35))/(AVERAGEA('Raw Data'!O$2:O$35)))^2</f>
        <v>0.29655039217717916</v>
      </c>
      <c r="O22" s="1"/>
    </row>
    <row r="23" spans="1:15" x14ac:dyDescent="0.25">
      <c r="A23" s="13" t="s">
        <v>41</v>
      </c>
      <c r="B23" s="1">
        <f>(('Raw Data'!B23 - AVERAGEA('Raw Data'!B$2:B$35))/(AVERAGEA('Raw Data'!B$2:B$35)))^2</f>
        <v>3.2168901710728851E-3</v>
      </c>
      <c r="C23" s="1">
        <f>(('Raw Data'!C23 - AVERAGEA('Raw Data'!C$2:C$35))/(AVERAGEA('Raw Data'!C$2:C$35)))^2</f>
        <v>0.11481107164109063</v>
      </c>
      <c r="D23" s="1">
        <f>(('Raw Data'!D23 - AVERAGEA('Raw Data'!D$2:D$35))/(AVERAGEA('Raw Data'!D$2:D$35)))^2</f>
        <v>5.6959169197765642E-4</v>
      </c>
      <c r="E23" s="1">
        <f>(('Raw Data'!E23 - AVERAGEA('Raw Data'!E$2:E$35))/(AVERAGEA('Raw Data'!E$2:E$35)))^2</f>
        <v>4.9733929796850082E-2</v>
      </c>
      <c r="F23" s="1">
        <f>(('Raw Data'!F23 - AVERAGEA('Raw Data'!F$2:F$35))/(AVERAGEA('Raw Data'!F$2:F$35)))^2</f>
        <v>1.2212655648416604E-2</v>
      </c>
      <c r="G23" s="1">
        <f>(('Raw Data'!G23 - AVERAGEA('Raw Data'!G$2:G$35))/(AVERAGEA('Raw Data'!G$2:G$35)))^2</f>
        <v>2.7616336215984652E-2</v>
      </c>
      <c r="H23" s="1">
        <f>(('Raw Data'!I23 - AVERAGEA('Raw Data'!I$2:I$35))/(AVERAGEA('Raw Data'!I$2:I$35)))^2</f>
        <v>4.6480583925129128E-3</v>
      </c>
      <c r="I23" s="1">
        <f>(('Raw Data'!J23 - AVERAGEA('Raw Data'!J$2:J$35))/(AVERAGEA('Raw Data'!J$2:J$35)))^2</f>
        <v>0.21608121259533808</v>
      </c>
      <c r="J23" s="1">
        <f>(('Raw Data'!K23 - AVERAGEA('Raw Data'!K$2:K$35))/(AVERAGEA('Raw Data'!K$2:K$35)))^2</f>
        <v>3.2816847201018406E-2</v>
      </c>
      <c r="K23" s="1">
        <f>(('Raw Data'!L23 - AVERAGEA('Raw Data'!L$2:L$35))/(AVERAGEA('Raw Data'!L$2:L$35)))^2</f>
        <v>0.1740272324276794</v>
      </c>
      <c r="L23" s="1">
        <f>(('Raw Data'!M23 - AVERAGEA('Raw Data'!M$2:M$35))/(AVERAGEA('Raw Data'!M$2:M$35)))^2</f>
        <v>0.6187291904414236</v>
      </c>
      <c r="M23" s="1">
        <f>(('Raw Data'!N23 - AVERAGEA('Raw Data'!N$2:N$35))/(AVERAGEA('Raw Data'!N$2:N$35)))^2</f>
        <v>0.26983700606268496</v>
      </c>
      <c r="N23" s="1">
        <f>(('Raw Data'!O23 - AVERAGEA('Raw Data'!O$2:O$35))/(AVERAGEA('Raw Data'!O$2:O$35)))^2</f>
        <v>0.10023716727917038</v>
      </c>
      <c r="O23" s="1"/>
    </row>
    <row r="24" spans="1:15" x14ac:dyDescent="0.25">
      <c r="A24" s="13" t="s">
        <v>57</v>
      </c>
      <c r="B24" s="1">
        <f>(('Raw Data'!B24 - AVERAGEA('Raw Data'!B$2:B$35))/(AVERAGEA('Raw Data'!B$2:B$35)))^2</f>
        <v>2.6927727151516315E-3</v>
      </c>
      <c r="C24" s="1">
        <f>(('Raw Data'!C24 - AVERAGEA('Raw Data'!C$2:C$35))/(AVERAGEA('Raw Data'!C$2:C$35)))^2</f>
        <v>0.11481107164109063</v>
      </c>
      <c r="D24" s="1">
        <f>(('Raw Data'!D24 - AVERAGEA('Raw Data'!D$2:D$35))/(AVERAGEA('Raw Data'!D$2:D$35)))^2</f>
        <v>7.2105205586893146E-5</v>
      </c>
      <c r="E24" s="1">
        <f>(('Raw Data'!E24 - AVERAGEA('Raw Data'!E$2:E$35))/(AVERAGEA('Raw Data'!E$2:E$35)))^2</f>
        <v>4.9733929796850082E-2</v>
      </c>
      <c r="F24" s="1">
        <f>(('Raw Data'!F24 - AVERAGEA('Raw Data'!F$2:F$35))/(AVERAGEA('Raw Data'!F$2:F$35)))^2</f>
        <v>1.4445498000198221E-2</v>
      </c>
      <c r="G24" s="1">
        <f>(('Raw Data'!G24 - AVERAGEA('Raw Data'!G$2:G$35))/(AVERAGEA('Raw Data'!G$2:G$35)))^2</f>
        <v>2.0504760888788894E-3</v>
      </c>
      <c r="H24" s="1">
        <f>(('Raw Data'!I24 - AVERAGEA('Raw Data'!I$2:I$35))/(AVERAGEA('Raw Data'!I$2:I$35)))^2</f>
        <v>2.9192089552515316E-2</v>
      </c>
      <c r="I24" s="1">
        <f>(('Raw Data'!J24 - AVERAGEA('Raw Data'!J$2:J$35))/(AVERAGEA('Raw Data'!J$2:J$35)))^2</f>
        <v>0.21608121259533808</v>
      </c>
      <c r="J24" s="1">
        <f>(('Raw Data'!K24 - AVERAGEA('Raw Data'!K$2:K$35))/(AVERAGEA('Raw Data'!K$2:K$35)))^2</f>
        <v>3.2816847201018406E-2</v>
      </c>
      <c r="K24" s="1">
        <f>(('Raw Data'!L24 - AVERAGEA('Raw Data'!L$2:L$35))/(AVERAGEA('Raw Data'!L$2:L$35)))^2</f>
        <v>0.1740272324276794</v>
      </c>
      <c r="L24" s="1">
        <f>(('Raw Data'!M24 - AVERAGEA('Raw Data'!M$2:M$35))/(AVERAGEA('Raw Data'!M$2:M$35)))^2</f>
        <v>0.6187291904414236</v>
      </c>
      <c r="M24" s="1">
        <f>(('Raw Data'!N24 - AVERAGEA('Raw Data'!N$2:N$35))/(AVERAGEA('Raw Data'!N$2:N$35)))^2</f>
        <v>0.26983700606268496</v>
      </c>
      <c r="N24" s="1">
        <f>(('Raw Data'!O24 - AVERAGEA('Raw Data'!O$2:O$35))/(AVERAGEA('Raw Data'!O$2:O$35)))^2</f>
        <v>0.10023716727917038</v>
      </c>
      <c r="O24" s="1"/>
    </row>
    <row r="25" spans="1:15" x14ac:dyDescent="0.25">
      <c r="A25" s="13" t="s">
        <v>43</v>
      </c>
      <c r="B25" s="1">
        <f>(('Raw Data'!B25 - AVERAGEA('Raw Data'!B$2:B$35))/(AVERAGEA('Raw Data'!B$2:B$35)))^2</f>
        <v>0.31874478443488413</v>
      </c>
      <c r="C25" s="1">
        <f>(('Raw Data'!C25 - AVERAGEA('Raw Data'!C$2:C$35))/(AVERAGEA('Raw Data'!C$2:C$35)))^2</f>
        <v>4.0738613793933731E-2</v>
      </c>
      <c r="D25" s="1">
        <f>(('Raw Data'!D25 - AVERAGEA('Raw Data'!D$2:D$35))/(AVERAGEA('Raw Data'!D$2:D$35)))^2</f>
        <v>0.32644328352590074</v>
      </c>
      <c r="E25" s="1">
        <f>(('Raw Data'!E25 - AVERAGEA('Raw Data'!E$2:E$35))/(AVERAGEA('Raw Data'!E$2:E$35)))^2</f>
        <v>0.48159441041447959</v>
      </c>
      <c r="F25" s="1">
        <f>(('Raw Data'!F25 - AVERAGEA('Raw Data'!F$2:F$35))/(AVERAGEA('Raw Data'!F$2:F$35)))^2</f>
        <v>0.18874861797255083</v>
      </c>
      <c r="G25" s="1">
        <f>(('Raw Data'!G25 - AVERAGEA('Raw Data'!G$2:G$35))/(AVERAGEA('Raw Data'!G$2:G$35)))^2</f>
        <v>6.7845413751595932E-2</v>
      </c>
      <c r="H25" s="1">
        <f>(('Raw Data'!I25 - AVERAGEA('Raw Data'!I$2:I$35))/(AVERAGEA('Raw Data'!I$2:I$35)))^2</f>
        <v>3.2696939990745598E-2</v>
      </c>
      <c r="I25" s="1">
        <f>(('Raw Data'!J25 - AVERAGEA('Raw Data'!J$2:J$35))/(AVERAGEA('Raw Data'!J$2:J$35)))^2</f>
        <v>0.15591406923605206</v>
      </c>
      <c r="J25" s="1">
        <f>(('Raw Data'!K25 - AVERAGEA('Raw Data'!K$2:K$35))/(AVERAGEA('Raw Data'!K$2:K$35)))^2</f>
        <v>0.38668306820512488</v>
      </c>
      <c r="K25" s="1">
        <f>(('Raw Data'!L25 - AVERAGEA('Raw Data'!L$2:L$35))/(AVERAGEA('Raw Data'!L$2:L$35)))^2</f>
        <v>3.9981179423096126E-2</v>
      </c>
      <c r="L25" s="1">
        <f>(('Raw Data'!M25 - AVERAGEA('Raw Data'!M$2:M$35))/(AVERAGEA('Raw Data'!M$2:M$35)))^2</f>
        <v>0.56636471743373751</v>
      </c>
      <c r="M25" s="1">
        <f>(('Raw Data'!N25 - AVERAGEA('Raw Data'!N$2:N$35))/(AVERAGEA('Raw Data'!N$2:N$35)))^2</f>
        <v>0.11845462050494154</v>
      </c>
      <c r="N25" s="1">
        <f>(('Raw Data'!O25 - AVERAGEA('Raw Data'!O$2:O$35))/(AVERAGEA('Raw Data'!O$2:O$35)))^2</f>
        <v>2.6171372203241366E-2</v>
      </c>
      <c r="O25" s="1"/>
    </row>
    <row r="26" spans="1:15" x14ac:dyDescent="0.25">
      <c r="A26" s="13" t="s">
        <v>44</v>
      </c>
      <c r="B26" s="1">
        <f>(('Raw Data'!B26 - AVERAGEA('Raw Data'!B$2:B$35))/(AVERAGEA('Raw Data'!B$2:B$35)))^2</f>
        <v>5.2084647528560922E-7</v>
      </c>
      <c r="C26" s="1">
        <f>(('Raw Data'!C26 - AVERAGEA('Raw Data'!C$2:C$35))/(AVERAGEA('Raw Data'!C$2:C$35)))^2</f>
        <v>6.6397357353144559E-2</v>
      </c>
      <c r="D26" s="1">
        <f>(('Raw Data'!D26 - AVERAGEA('Raw Data'!D$2:D$35))/(AVERAGEA('Raw Data'!D$2:D$35)))^2</f>
        <v>9.1404244181670466E-2</v>
      </c>
      <c r="E26" s="1">
        <f>(('Raw Data'!E26 - AVERAGEA('Raw Data'!E$2:E$35))/(AVERAGEA('Raw Data'!E$2:E$35)))^2</f>
        <v>9.1708741192166963E-3</v>
      </c>
      <c r="F26" s="1">
        <f>(('Raw Data'!F26 - AVERAGEA('Raw Data'!F$2:F$35))/(AVERAGEA('Raw Data'!F$2:F$35)))^2</f>
        <v>8.9976101963093764E-3</v>
      </c>
      <c r="G26" s="1">
        <f>(('Raw Data'!G26 - AVERAGEA('Raw Data'!G$2:G$35))/(AVERAGEA('Raw Data'!G$2:G$35)))^2</f>
        <v>1.9693998008222788E-2</v>
      </c>
      <c r="H26" s="1">
        <f>(('Raw Data'!I26 - AVERAGEA('Raw Data'!I$2:I$35))/(AVERAGEA('Raw Data'!I$2:I$35)))^2</f>
        <v>4.3145407976770335E-5</v>
      </c>
      <c r="I26" s="1">
        <f>(('Raw Data'!J26 - AVERAGEA('Raw Data'!J$2:J$35))/(AVERAGEA('Raw Data'!J$2:J$35)))^2</f>
        <v>2.7675467743376451E-4</v>
      </c>
      <c r="J26" s="1">
        <f>(('Raw Data'!K26 - AVERAGEA('Raw Data'!K$2:K$35))/(AVERAGEA('Raw Data'!K$2:K$35)))^2</f>
        <v>1.6625073824128617E-2</v>
      </c>
      <c r="K26" s="1">
        <f>(('Raw Data'!L26 - AVERAGEA('Raw Data'!L$2:L$35))/(AVERAGEA('Raw Data'!L$2:L$35)))^2</f>
        <v>1.1795346902686344E-2</v>
      </c>
      <c r="L26" s="1">
        <f>(('Raw Data'!M26 - AVERAGEA('Raw Data'!M$2:M$35))/(AVERAGEA('Raw Data'!M$2:M$35)))^2</f>
        <v>2.8716908756505843E-3</v>
      </c>
      <c r="M26" s="1">
        <f>(('Raw Data'!N26 - AVERAGEA('Raw Data'!N$2:N$35))/(AVERAGEA('Raw Data'!N$2:N$35)))^2</f>
        <v>1.0568252514712206</v>
      </c>
      <c r="N26" s="1">
        <f>(('Raw Data'!O26 - AVERAGEA('Raw Data'!O$2:O$35))/(AVERAGEA('Raw Data'!O$2:O$35)))^2</f>
        <v>0.18011159689095874</v>
      </c>
      <c r="O26" s="1"/>
    </row>
    <row r="27" spans="1:15" x14ac:dyDescent="0.25">
      <c r="A27" s="13" t="s">
        <v>45</v>
      </c>
      <c r="B27" s="1">
        <f>(('Raw Data'!B27 - AVERAGEA('Raw Data'!B$2:B$35))/(AVERAGEA('Raw Data'!B$2:B$35)))^2</f>
        <v>5.5343958384225842E-7</v>
      </c>
      <c r="C27" s="1">
        <f>(('Raw Data'!C27 - AVERAGEA('Raw Data'!C$2:C$35))/(AVERAGEA('Raw Data'!C$2:C$35)))^2</f>
        <v>7.722939042297694E-2</v>
      </c>
      <c r="D27" s="1">
        <f>(('Raw Data'!D27 - AVERAGEA('Raw Data'!D$2:D$35))/(AVERAGEA('Raw Data'!D$2:D$35)))^2</f>
        <v>9.8698670742011024E-2</v>
      </c>
      <c r="E27" s="1">
        <f>(('Raw Data'!E27 - AVERAGEA('Raw Data'!E$2:E$35))/(AVERAGEA('Raw Data'!E$2:E$35)))^2</f>
        <v>9.1708741192166963E-3</v>
      </c>
      <c r="F27" s="1">
        <f>(('Raw Data'!F27 - AVERAGEA('Raw Data'!F$2:F$35))/(AVERAGEA('Raw Data'!F$2:F$35)))^2</f>
        <v>8.9891507562804684E-3</v>
      </c>
      <c r="G27" s="1">
        <f>(('Raw Data'!G27 - AVERAGEA('Raw Data'!G$2:G$35))/(AVERAGEA('Raw Data'!G$2:G$35)))^2</f>
        <v>1.9683126762910206E-2</v>
      </c>
      <c r="H27" s="1">
        <f>(('Raw Data'!I27 - AVERAGEA('Raw Data'!I$2:I$35))/(AVERAGEA('Raw Data'!I$2:I$35)))^2</f>
        <v>4.3145407976770335E-5</v>
      </c>
      <c r="I27" s="1">
        <f>(('Raw Data'!J27 - AVERAGEA('Raw Data'!J$2:J$35))/(AVERAGEA('Raw Data'!J$2:J$35)))^2</f>
        <v>2.5356933772236988E-2</v>
      </c>
      <c r="J27" s="1">
        <f>(('Raw Data'!K27 - AVERAGEA('Raw Data'!K$2:K$35))/(AVERAGEA('Raw Data'!K$2:K$35)))^2</f>
        <v>1.6625073824128617E-2</v>
      </c>
      <c r="K27" s="1">
        <f>(('Raw Data'!L27 - AVERAGEA('Raw Data'!L$2:L$35))/(AVERAGEA('Raw Data'!L$2:L$35)))^2</f>
        <v>1.1795346902686344E-2</v>
      </c>
      <c r="L27" s="1">
        <f>(('Raw Data'!M27 - AVERAGEA('Raw Data'!M$2:M$35))/(AVERAGEA('Raw Data'!M$2:M$35)))^2</f>
        <v>2.8716908756505843E-3</v>
      </c>
      <c r="M27" s="1">
        <f>(('Raw Data'!N27 - AVERAGEA('Raw Data'!N$2:N$35))/(AVERAGEA('Raw Data'!N$2:N$35)))^2</f>
        <v>1.0056415981524012</v>
      </c>
      <c r="N27" s="1">
        <f>(('Raw Data'!O27 - AVERAGEA('Raw Data'!O$2:O$35))/(AVERAGEA('Raw Data'!O$2:O$35)))^2</f>
        <v>0.12366654975308763</v>
      </c>
      <c r="O27" s="1"/>
    </row>
    <row r="28" spans="1:15" x14ac:dyDescent="0.25">
      <c r="A28" s="13" t="s">
        <v>46</v>
      </c>
      <c r="B28" s="1">
        <f>(('Raw Data'!B28 - AVERAGEA('Raw Data'!B$2:B$35))/(AVERAGEA('Raw Data'!B$2:B$35)))^2</f>
        <v>4.8924244713856923E-7</v>
      </c>
      <c r="C28" s="1">
        <f>(('Raw Data'!C28 - AVERAGEA('Raw Data'!C$2:C$35))/(AVERAGEA('Raw Data'!C$2:C$35)))^2</f>
        <v>5.9748147269292763E-2</v>
      </c>
      <c r="D28" s="1">
        <f>(('Raw Data'!D28 - AVERAGEA('Raw Data'!D$2:D$35))/(AVERAGEA('Raw Data'!D$2:D$35)))^2</f>
        <v>8.6794228375805069E-2</v>
      </c>
      <c r="E28" s="1">
        <f>(('Raw Data'!E28 - AVERAGEA('Raw Data'!E$2:E$35))/(AVERAGEA('Raw Data'!E$2:E$35)))^2</f>
        <v>9.1708741192166963E-3</v>
      </c>
      <c r="F28" s="1">
        <f>(('Raw Data'!F28 - AVERAGEA('Raw Data'!F$2:F$35))/(AVERAGEA('Raw Data'!F$2:F$35)))^2</f>
        <v>9.006073614938423E-3</v>
      </c>
      <c r="G28" s="1">
        <f>(('Raw Data'!G28 - AVERAGEA('Raw Data'!G$2:G$35))/(AVERAGEA('Raw Data'!G$2:G$35)))^2</f>
        <v>1.9704873032491813E-2</v>
      </c>
      <c r="H28" s="1">
        <f>(('Raw Data'!I28 - AVERAGEA('Raw Data'!I$2:I$35))/(AVERAGEA('Raw Data'!I$2:I$35)))^2</f>
        <v>4.3145407976770335E-5</v>
      </c>
      <c r="I28" s="1">
        <f>(('Raw Data'!J28 - AVERAGEA('Raw Data'!J$2:J$35))/(AVERAGEA('Raw Data'!J$2:J$35)))^2</f>
        <v>4.1817218308288245E-2</v>
      </c>
      <c r="J28" s="1">
        <f>(('Raw Data'!K28 - AVERAGEA('Raw Data'!K$2:K$35))/(AVERAGEA('Raw Data'!K$2:K$35)))^2</f>
        <v>1.6625073824128617E-2</v>
      </c>
      <c r="K28" s="1">
        <f>(('Raw Data'!L28 - AVERAGEA('Raw Data'!L$2:L$35))/(AVERAGEA('Raw Data'!L$2:L$35)))^2</f>
        <v>1.1795346902686344E-2</v>
      </c>
      <c r="L28" s="1">
        <f>(('Raw Data'!M28 - AVERAGEA('Raw Data'!M$2:M$35))/(AVERAGEA('Raw Data'!M$2:M$35)))^2</f>
        <v>9.0000511510106539E-3</v>
      </c>
      <c r="M28" s="1">
        <f>(('Raw Data'!N28 - AVERAGEA('Raw Data'!N$2:N$35))/(AVERAGEA('Raw Data'!N$2:N$35)))^2</f>
        <v>1.0056415981524012</v>
      </c>
      <c r="N28" s="1">
        <f>(('Raw Data'!O28 - AVERAGEA('Raw Data'!O$2:O$35))/(AVERAGEA('Raw Data'!O$2:O$35)))^2</f>
        <v>3.2341311847135221E-2</v>
      </c>
      <c r="O28" s="1"/>
    </row>
    <row r="29" spans="1:15" x14ac:dyDescent="0.25">
      <c r="A29" s="13" t="s">
        <v>48</v>
      </c>
      <c r="B29" s="1">
        <f>(('Raw Data'!B29 - AVERAGEA('Raw Data'!B$2:B$35))/(AVERAGEA('Raw Data'!B$2:B$35)))^2</f>
        <v>3.7220818660402229E-2</v>
      </c>
      <c r="C29" s="1">
        <f>(('Raw Data'!C29 - AVERAGEA('Raw Data'!C$2:C$35))/(AVERAGEA('Raw Data'!C$2:C$35)))^2</f>
        <v>1.733556053610753E-5</v>
      </c>
      <c r="D29" s="1">
        <f>(('Raw Data'!D29 - AVERAGEA('Raw Data'!D$2:D$35))/(AVERAGEA('Raw Data'!D$2:D$35)))^2</f>
        <v>0.11983144654410595</v>
      </c>
      <c r="E29" s="1">
        <f>(('Raw Data'!E29 - AVERAGEA('Raw Data'!E$2:E$35))/(AVERAGEA('Raw Data'!E$2:E$35)))^2</f>
        <v>2.8767905539807424E-2</v>
      </c>
      <c r="F29" s="1">
        <f>(('Raw Data'!F29 - AVERAGEA('Raw Data'!F$2:F$35))/(AVERAGEA('Raw Data'!F$2:F$35)))^2</f>
        <v>4.6817718054566408E-2</v>
      </c>
      <c r="G29" s="1">
        <f>(('Raw Data'!G29 - AVERAGEA('Raw Data'!G$2:G$35))/(AVERAGEA('Raw Data'!G$2:G$35)))^2</f>
        <v>1.5980983820734044E-2</v>
      </c>
      <c r="H29" s="1">
        <f>(('Raw Data'!I29 - AVERAGEA('Raw Data'!I$2:I$35))/(AVERAGEA('Raw Data'!I$2:I$35)))^2</f>
        <v>2.4072418618192638E-2</v>
      </c>
      <c r="I29" s="1">
        <f>(('Raw Data'!J29 - AVERAGEA('Raw Data'!J$2:J$35))/(AVERAGEA('Raw Data'!J$2:J$35)))^2</f>
        <v>0.17166876250515395</v>
      </c>
      <c r="J29" s="1">
        <f>(('Raw Data'!K29 - AVERAGEA('Raw Data'!K$2:K$35))/(AVERAGEA('Raw Data'!K$2:K$35)))^2</f>
        <v>3.6464479874278567E-2</v>
      </c>
      <c r="K29" s="1">
        <f>(('Raw Data'!L29 - AVERAGEA('Raw Data'!L$2:L$35))/(AVERAGEA('Raw Data'!L$2:L$35)))^2</f>
        <v>1.1795346902686344E-2</v>
      </c>
      <c r="L29" s="1">
        <f>(('Raw Data'!M29 - AVERAGEA('Raw Data'!M$2:M$35))/(AVERAGEA('Raw Data'!M$2:M$35)))^2</f>
        <v>0.6187291904414236</v>
      </c>
      <c r="M29" s="1">
        <f>(('Raw Data'!N29 - AVERAGEA('Raw Data'!N$2:N$35))/(AVERAGEA('Raw Data'!N$2:N$35)))^2</f>
        <v>0.14440037557781826</v>
      </c>
      <c r="N29" s="1">
        <f>(('Raw Data'!O29 - AVERAGEA('Raw Data'!O$2:O$35))/(AVERAGEA('Raw Data'!O$2:O$35)))^2</f>
        <v>9.7625248839865956E-3</v>
      </c>
      <c r="O29" s="1"/>
    </row>
    <row r="30" spans="1:15" x14ac:dyDescent="0.25">
      <c r="A30" s="13" t="s">
        <v>49</v>
      </c>
      <c r="B30" s="1">
        <f>(('Raw Data'!B30 - AVERAGEA('Raw Data'!B$2:B$35))/(AVERAGEA('Raw Data'!B$2:B$35)))^2</f>
        <v>1.2385536510611457E-2</v>
      </c>
      <c r="C30" s="1">
        <f>(('Raw Data'!C30 - AVERAGEA('Raw Data'!C$2:C$35))/(AVERAGEA('Raw Data'!C$2:C$35)))^2</f>
        <v>0.71511391551543391</v>
      </c>
      <c r="D30" s="1">
        <f>(('Raw Data'!D30 - AVERAGEA('Raw Data'!D$2:D$35))/(AVERAGEA('Raw Data'!D$2:D$35)))^2</f>
        <v>0.28358380161101271</v>
      </c>
      <c r="E30" s="1">
        <f>(('Raw Data'!E30 - AVERAGEA('Raw Data'!E$2:E$35))/(AVERAGEA('Raw Data'!E$2:E$35)))^2</f>
        <v>5.9422773495525737E-2</v>
      </c>
      <c r="F30" s="1">
        <f>(('Raw Data'!F30 - AVERAGEA('Raw Data'!F$2:F$35))/(AVERAGEA('Raw Data'!F$2:F$35)))^2</f>
        <v>4.8101991680856267E-4</v>
      </c>
      <c r="G30" s="1">
        <f>(('Raw Data'!G30 - AVERAGEA('Raw Data'!G$2:G$35))/(AVERAGEA('Raw Data'!G$2:G$35)))^2</f>
        <v>0.13797827923183001</v>
      </c>
      <c r="H30" s="1">
        <f>(('Raw Data'!I30 - AVERAGEA('Raw Data'!I$2:I$35))/(AVERAGEA('Raw Data'!I$2:I$35)))^2</f>
        <v>2.4072418618192638E-2</v>
      </c>
      <c r="I30" s="1">
        <f>(('Raw Data'!J30 - AVERAGEA('Raw Data'!J$2:J$35))/(AVERAGEA('Raw Data'!J$2:J$35)))^2</f>
        <v>1.9366069901958778</v>
      </c>
      <c r="J30" s="1">
        <f>(('Raw Data'!K30 - AVERAGEA('Raw Data'!K$2:K$35))/(AVERAGEA('Raw Data'!K$2:K$35)))^2</f>
        <v>0.32332196631572202</v>
      </c>
      <c r="K30" s="1">
        <f>(('Raw Data'!L30 - AVERAGEA('Raw Data'!L$2:L$35))/(AVERAGEA('Raw Data'!L$2:L$35)))^2</f>
        <v>0.6068064989078209</v>
      </c>
      <c r="L30" s="1">
        <f>(('Raw Data'!M30 - AVERAGEA('Raw Data'!M$2:M$35))/(AVERAGEA('Raw Data'!M$2:M$35)))^2</f>
        <v>0.13245703704085349</v>
      </c>
      <c r="M30" s="1">
        <f>(('Raw Data'!N30 - AVERAGEA('Raw Data'!N$2:N$35))/(AVERAGEA('Raw Data'!N$2:N$35)))^2</f>
        <v>0.18961461622778647</v>
      </c>
      <c r="N30" s="1">
        <f>(('Raw Data'!O30 - AVERAGEA('Raw Data'!O$2:O$35))/(AVERAGEA('Raw Data'!O$2:O$35)))^2</f>
        <v>1.0027584608473141</v>
      </c>
      <c r="O30" s="1"/>
    </row>
    <row r="31" spans="1:15" x14ac:dyDescent="0.25">
      <c r="A31" s="13" t="s">
        <v>50</v>
      </c>
      <c r="B31" s="1">
        <f>(('Raw Data'!B31 - AVERAGEA('Raw Data'!B$2:B$35))/(AVERAGEA('Raw Data'!B$2:B$35)))^2</f>
        <v>1.2385536510611457E-2</v>
      </c>
      <c r="C31" s="1">
        <f>(('Raw Data'!C31 - AVERAGEA('Raw Data'!C$2:C$35))/(AVERAGEA('Raw Data'!C$2:C$35)))^2</f>
        <v>0.67260036369053133</v>
      </c>
      <c r="D31" s="1">
        <f>(('Raw Data'!D31 - AVERAGEA('Raw Data'!D$2:D$35))/(AVERAGEA('Raw Data'!D$2:D$35)))^2</f>
        <v>0.26781192399022796</v>
      </c>
      <c r="E31" s="1">
        <f>(('Raw Data'!E31 - AVERAGEA('Raw Data'!E$2:E$35))/(AVERAGEA('Raw Data'!E$2:E$35)))^2</f>
        <v>5.9422773495525737E-2</v>
      </c>
      <c r="F31" s="1">
        <f>(('Raw Data'!F31 - AVERAGEA('Raw Data'!F$2:F$35))/(AVERAGEA('Raw Data'!F$2:F$35)))^2</f>
        <v>4.8101991680856267E-4</v>
      </c>
      <c r="G31" s="1">
        <f>(('Raw Data'!G31 - AVERAGEA('Raw Data'!G$2:G$35))/(AVERAGEA('Raw Data'!G$2:G$35)))^2</f>
        <v>0.13797827923183001</v>
      </c>
      <c r="H31" s="1">
        <f>(('Raw Data'!I31 - AVERAGEA('Raw Data'!I$2:I$35))/(AVERAGEA('Raw Data'!I$2:I$35)))^2</f>
        <v>2.4072418618192638E-2</v>
      </c>
      <c r="I31" s="1">
        <f>(('Raw Data'!J31 - AVERAGEA('Raw Data'!J$2:J$35))/(AVERAGEA('Raw Data'!J$2:J$35)))^2</f>
        <v>1.7718437976208767</v>
      </c>
      <c r="J31" s="1">
        <f>(('Raw Data'!K31 - AVERAGEA('Raw Data'!K$2:K$35))/(AVERAGEA('Raw Data'!K$2:K$35)))^2</f>
        <v>0.36531551898162717</v>
      </c>
      <c r="K31" s="1">
        <f>(('Raw Data'!L31 - AVERAGEA('Raw Data'!L$2:L$35))/(AVERAGEA('Raw Data'!L$2:L$35)))^2</f>
        <v>0.6068064989078209</v>
      </c>
      <c r="L31" s="1">
        <f>(('Raw Data'!M31 - AVERAGEA('Raw Data'!M$2:M$35))/(AVERAGEA('Raw Data'!M$2:M$35)))^2</f>
        <v>0.13245703704085349</v>
      </c>
      <c r="M31" s="1">
        <f>(('Raw Data'!N31 - AVERAGEA('Raw Data'!N$2:N$35))/(AVERAGEA('Raw Data'!N$2:N$35)))^2</f>
        <v>0.18961461622778647</v>
      </c>
      <c r="N31" s="1">
        <f>(('Raw Data'!O31 - AVERAGEA('Raw Data'!O$2:O$35))/(AVERAGEA('Raw Data'!O$2:O$35)))^2</f>
        <v>1.0027584608473141</v>
      </c>
      <c r="O31" s="1"/>
    </row>
    <row r="32" spans="1:15" x14ac:dyDescent="0.25">
      <c r="A32" s="13" t="s">
        <v>51</v>
      </c>
      <c r="B32" s="1">
        <f>(('Raw Data'!B32 - AVERAGEA('Raw Data'!B$2:B$35))/(AVERAGEA('Raw Data'!B$2:B$35)))^2</f>
        <v>1.2549418674937146E-2</v>
      </c>
      <c r="C32" s="1">
        <f>(('Raw Data'!C32 - AVERAGEA('Raw Data'!C$2:C$35))/(AVERAGEA('Raw Data'!C$2:C$35)))^2</f>
        <v>0.86227998452402055</v>
      </c>
      <c r="D32" s="1">
        <f>(('Raw Data'!D32 - AVERAGEA('Raw Data'!D$2:D$35))/(AVERAGEA('Raw Data'!D$2:D$35)))^2</f>
        <v>0.3352456889066226</v>
      </c>
      <c r="E32" s="1">
        <f>(('Raw Data'!E32 - AVERAGEA('Raw Data'!E$2:E$35))/(AVERAGEA('Raw Data'!E$2:E$35)))^2</f>
        <v>5.9422773495525737E-2</v>
      </c>
      <c r="F32" s="1">
        <f>(('Raw Data'!F32 - AVERAGEA('Raw Data'!F$2:F$35))/(AVERAGEA('Raw Data'!F$2:F$35)))^2</f>
        <v>4.1862446702746443E-4</v>
      </c>
      <c r="G32" s="1">
        <f>(('Raw Data'!G32 - AVERAGEA('Raw Data'!G$2:G$35))/(AVERAGEA('Raw Data'!G$2:G$35)))^2</f>
        <v>0.13693674505777773</v>
      </c>
      <c r="H32" s="1">
        <f>(('Raw Data'!I32 - AVERAGEA('Raw Data'!I$2:I$35))/(AVERAGEA('Raw Data'!I$2:I$35)))^2</f>
        <v>2.4072418618192638E-2</v>
      </c>
      <c r="I32" s="1">
        <f>(('Raw Data'!J32 - AVERAGEA('Raw Data'!J$2:J$35))/(AVERAGEA('Raw Data'!J$2:J$35)))^2</f>
        <v>6.0248776538053024</v>
      </c>
      <c r="J32" s="1">
        <f>(('Raw Data'!K32 - AVERAGEA('Raw Data'!K$2:K$35))/(AVERAGEA('Raw Data'!K$2:K$35)))^2</f>
        <v>0.20855503194855324</v>
      </c>
      <c r="K32" s="1">
        <f>(('Raw Data'!L32 - AVERAGEA('Raw Data'!L$2:L$35))/(AVERAGEA('Raw Data'!L$2:L$35)))^2</f>
        <v>0.6068064989078209</v>
      </c>
      <c r="L32" s="1">
        <f>(('Raw Data'!M32 - AVERAGEA('Raw Data'!M$2:M$35))/(AVERAGEA('Raw Data'!M$2:M$35)))^2</f>
        <v>0.13245703704085349</v>
      </c>
      <c r="M32" s="1">
        <f>(('Raw Data'!N32 - AVERAGEA('Raw Data'!N$2:N$35))/(AVERAGEA('Raw Data'!N$2:N$35)))^2</f>
        <v>0.18961461622778647</v>
      </c>
      <c r="N32" s="1">
        <f>(('Raw Data'!O32 - AVERAGEA('Raw Data'!O$2:O$35))/(AVERAGEA('Raw Data'!O$2:O$35)))^2</f>
        <v>0.16909839990834949</v>
      </c>
      <c r="O32" s="1"/>
    </row>
    <row r="33" spans="1:15" x14ac:dyDescent="0.25">
      <c r="A33" s="13" t="s">
        <v>52</v>
      </c>
      <c r="B33" s="1">
        <f>(('Raw Data'!B33 - AVERAGEA('Raw Data'!B$2:B$35))/(AVERAGEA('Raw Data'!B$2:B$35)))^2</f>
        <v>1.2380587198786734E-2</v>
      </c>
      <c r="C33" s="1">
        <f>(('Raw Data'!C33 - AVERAGEA('Raw Data'!C$2:C$35))/(AVERAGEA('Raw Data'!C$2:C$35)))^2</f>
        <v>0.1067056193897024</v>
      </c>
      <c r="D33" s="1">
        <f>(('Raw Data'!D33 - AVERAGEA('Raw Data'!D$2:D$35))/(AVERAGEA('Raw Data'!D$2:D$35)))^2</f>
        <v>5.1601011715264267E-2</v>
      </c>
      <c r="E33" s="1">
        <f>(('Raw Data'!E33 - AVERAGEA('Raw Data'!E$2:E$35))/(AVERAGEA('Raw Data'!E$2:E$35)))^2</f>
        <v>5.9422773495525737E-2</v>
      </c>
      <c r="F33" s="1">
        <f>(('Raw Data'!F33 - AVERAGEA('Raw Data'!F$2:F$35))/(AVERAGEA('Raw Data'!F$2:F$35)))^2</f>
        <v>4.8297832421635099E-4</v>
      </c>
      <c r="G33" s="1">
        <f>(('Raw Data'!G33 - AVERAGEA('Raw Data'!G$2:G$35))/(AVERAGEA('Raw Data'!G$2:G$35)))^2</f>
        <v>0.13800993774660328</v>
      </c>
      <c r="H33" s="1">
        <f>(('Raw Data'!I33 - AVERAGEA('Raw Data'!I$2:I$35))/(AVERAGEA('Raw Data'!I$2:I$35)))^2</f>
        <v>2.4072418618192638E-2</v>
      </c>
      <c r="I33" s="1">
        <f>(('Raw Data'!J33 - AVERAGEA('Raw Data'!J$2:J$35))/(AVERAGEA('Raw Data'!J$2:J$35)))^2</f>
        <v>5.4550015970066055E-4</v>
      </c>
      <c r="J33" s="1">
        <f>(('Raw Data'!K33 - AVERAGEA('Raw Data'!K$2:K$35))/(AVERAGEA('Raw Data'!K$2:K$35)))^2</f>
        <v>8.9920381244807127E-2</v>
      </c>
      <c r="K33" s="1">
        <f>(('Raw Data'!L33 - AVERAGEA('Raw Data'!L$2:L$35))/(AVERAGEA('Raw Data'!L$2:L$35)))^2</f>
        <v>0.6068064989078209</v>
      </c>
      <c r="L33" s="1">
        <f>(('Raw Data'!M33 - AVERAGEA('Raw Data'!M$2:M$35))/(AVERAGEA('Raw Data'!M$2:M$35)))^2</f>
        <v>0.13245703704085349</v>
      </c>
      <c r="M33" s="1">
        <f>(('Raw Data'!N33 - AVERAGEA('Raw Data'!N$2:N$35))/(AVERAGEA('Raw Data'!N$2:N$35)))^2</f>
        <v>0.18961461622778647</v>
      </c>
      <c r="N33" s="1">
        <f>(('Raw Data'!O33 - AVERAGEA('Raw Data'!O$2:O$35))/(AVERAGEA('Raw Data'!O$2:O$35)))^2</f>
        <v>0.56982426823473808</v>
      </c>
      <c r="O33" s="1"/>
    </row>
    <row r="34" spans="1:15" x14ac:dyDescent="0.25">
      <c r="A34" s="13" t="s">
        <v>53</v>
      </c>
      <c r="B34" s="1">
        <f>(('Raw Data'!B34 - AVERAGEA('Raw Data'!B$2:B$35))/(AVERAGEA('Raw Data'!B$2:B$35)))^2</f>
        <v>1.2385536510611457E-2</v>
      </c>
      <c r="C34" s="1">
        <f>(('Raw Data'!C34 - AVERAGEA('Raw Data'!C$2:C$35))/(AVERAGEA('Raw Data'!C$2:C$35)))^2</f>
        <v>6.5100875492712415E-2</v>
      </c>
      <c r="D34" s="1">
        <f>(('Raw Data'!D34 - AVERAGEA('Raw Data'!D$2:D$35))/(AVERAGEA('Raw Data'!D$2:D$35)))^2</f>
        <v>3.422584543339055E-2</v>
      </c>
      <c r="E34" s="1">
        <f>(('Raw Data'!E34 - AVERAGEA('Raw Data'!E$2:E$35))/(AVERAGEA('Raw Data'!E$2:E$35)))^2</f>
        <v>5.9422773495525737E-2</v>
      </c>
      <c r="F34" s="1">
        <f>(('Raw Data'!F34 - AVERAGEA('Raw Data'!F$2:F$35))/(AVERAGEA('Raw Data'!F$2:F$35)))^2</f>
        <v>4.8101991680856267E-4</v>
      </c>
      <c r="G34" s="1">
        <f>(('Raw Data'!G34 - AVERAGEA('Raw Data'!G$2:G$35))/(AVERAGEA('Raw Data'!G$2:G$35)))^2</f>
        <v>0.13797827923183001</v>
      </c>
      <c r="H34" s="1">
        <f>(('Raw Data'!I34 - AVERAGEA('Raw Data'!I$2:I$35))/(AVERAGEA('Raw Data'!I$2:I$35)))^2</f>
        <v>2.4072418618192638E-2</v>
      </c>
      <c r="I34" s="1">
        <f>(('Raw Data'!J34 - AVERAGEA('Raw Data'!J$2:J$35))/(AVERAGEA('Raw Data'!J$2:J$35)))^2</f>
        <v>1.9063193623559495E-2</v>
      </c>
      <c r="J34" s="1">
        <f>(('Raw Data'!K34 - AVERAGEA('Raw Data'!K$2:K$35))/(AVERAGEA('Raw Data'!K$2:K$35)))^2</f>
        <v>9.7009964488692105E-2</v>
      </c>
      <c r="K34" s="1">
        <f>(('Raw Data'!L34 - AVERAGEA('Raw Data'!L$2:L$35))/(AVERAGEA('Raw Data'!L$2:L$35)))^2</f>
        <v>0.6068064989078209</v>
      </c>
      <c r="L34" s="1">
        <f>(('Raw Data'!M34 - AVERAGEA('Raw Data'!M$2:M$35))/(AVERAGEA('Raw Data'!M$2:M$35)))^2</f>
        <v>0.13245703704085349</v>
      </c>
      <c r="M34" s="1">
        <f>(('Raw Data'!N34 - AVERAGEA('Raw Data'!N$2:N$35))/(AVERAGEA('Raw Data'!N$2:N$35)))^2</f>
        <v>0.18961461622778647</v>
      </c>
      <c r="N34" s="1">
        <f>(('Raw Data'!O34 - AVERAGEA('Raw Data'!O$2:O$35))/(AVERAGEA('Raw Data'!O$2:O$35)))^2</f>
        <v>0.36073775770819055</v>
      </c>
      <c r="O34" s="1"/>
    </row>
    <row r="35" spans="1:15" x14ac:dyDescent="0.25">
      <c r="A35" s="13" t="s">
        <v>54</v>
      </c>
      <c r="B35" s="1">
        <f>(('Raw Data'!B35 - AVERAGEA('Raw Data'!B$2:B$35))/(AVERAGEA('Raw Data'!B$2:B$35)))^2</f>
        <v>1.8677205334469979E-4</v>
      </c>
      <c r="C35" s="1">
        <f>(('Raw Data'!C35 - AVERAGEA('Raw Data'!C$2:C$35))/(AVERAGEA('Raw Data'!C$2:C$35)))^2</f>
        <v>0.14650393832762759</v>
      </c>
      <c r="D35" s="1">
        <f>(('Raw Data'!D35 - AVERAGEA('Raw Data'!D$2:D$35))/(AVERAGEA('Raw Data'!D$2:D$35)))^2</f>
        <v>0.27705678929061101</v>
      </c>
      <c r="E35" s="1">
        <f>(('Raw Data'!E35 - AVERAGEA('Raw Data'!E$2:E$35))/(AVERAGEA('Raw Data'!E$2:E$35)))^2</f>
        <v>2.5994623415616317E-2</v>
      </c>
      <c r="F35" s="1">
        <f>(('Raw Data'!F35 - AVERAGEA('Raw Data'!F$2:F$35))/(AVERAGEA('Raw Data'!F$2:F$35)))^2</f>
        <v>3.5927256686392996E-2</v>
      </c>
      <c r="G35" s="1">
        <f>(('Raw Data'!G35 - AVERAGEA('Raw Data'!G$2:G$35))/(AVERAGEA('Raw Data'!G$2:G$35)))^2</f>
        <v>0.23604702581756073</v>
      </c>
      <c r="H35" s="1">
        <f>(('Raw Data'!I35 - AVERAGEA('Raw Data'!I$2:I$35))/(AVERAGEA('Raw Data'!I$2:I$35)))^2</f>
        <v>2.4072418618192638E-2</v>
      </c>
      <c r="I35" s="1">
        <f>(('Raw Data'!J35 - AVERAGEA('Raw Data'!J$2:J$35))/(AVERAGEA('Raw Data'!J$2:J$35)))^2</f>
        <v>2.556630399884559</v>
      </c>
      <c r="J35" s="1">
        <f>(('Raw Data'!K35 - AVERAGEA('Raw Data'!K$2:K$35))/(AVERAGEA('Raw Data'!K$2:K$35)))^2</f>
        <v>3.4564236563749642E-2</v>
      </c>
      <c r="K35" s="1">
        <f>(('Raw Data'!L35 - AVERAGEA('Raw Data'!L$2:L$35))/(AVERAGEA('Raw Data'!L$2:L$35)))^2</f>
        <v>3.9086322436582517</v>
      </c>
      <c r="L35" s="1">
        <f>(('Raw Data'!M35 - AVERAGEA('Raw Data'!M$2:M$35))/(AVERAGEA('Raw Data'!M$2:M$35)))^2</f>
        <v>3.4812347660818505E-2</v>
      </c>
      <c r="M35" s="1">
        <f>(('Raw Data'!N35 - AVERAGEA('Raw Data'!N$2:N$35))/(AVERAGEA('Raw Data'!N$2:N$35)))^2</f>
        <v>0.55864275751797032</v>
      </c>
      <c r="N35" s="1">
        <f>(('Raw Data'!O35 - AVERAGEA('Raw Data'!O$2:O$35))/(AVERAGEA('Raw Data'!O$2:O$35)))^2</f>
        <v>0.12338397571507002</v>
      </c>
      <c r="O35" s="1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Raw Data</vt:lpstr>
      <vt:lpstr>outliers removed</vt:lpstr>
      <vt:lpstr>Norm(mean)^2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Conall DE PAOR</dc:creator>
  <cp:lastModifiedBy>Conall DE PAOR</cp:lastModifiedBy>
  <dcterms:created xsi:type="dcterms:W3CDTF">2025-05-29T22:23:43Z</dcterms:created>
  <dcterms:modified xsi:type="dcterms:W3CDTF">2025-08-20T12:28:00Z</dcterms:modified>
</cp:coreProperties>
</file>