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8_{1B9290C9-2750-4DC5-9B87-4FD27A905882}" xr6:coauthVersionLast="47" xr6:coauthVersionMax="47" xr10:uidLastSave="{00000000-0000-0000-0000-000000000000}"/>
  <bookViews>
    <workbookView xWindow="-46188" yWindow="-108" windowWidth="23256" windowHeight="12456" xr2:uid="{BB390FF6-EF55-43DC-9F23-A0B7CC5042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D57" i="1"/>
</calcChain>
</file>

<file path=xl/sharedStrings.xml><?xml version="1.0" encoding="utf-8"?>
<sst xmlns="http://schemas.openxmlformats.org/spreadsheetml/2006/main" count="186" uniqueCount="132">
  <si>
    <t>Surveyor 1</t>
  </si>
  <si>
    <t xml:space="preserve"> Luna 9</t>
  </si>
  <si>
    <t>Luna 13</t>
  </si>
  <si>
    <t>Surveyor 5</t>
  </si>
  <si>
    <t>Surveyor 6</t>
  </si>
  <si>
    <t>Surveyor 3</t>
  </si>
  <si>
    <t>Surveyor 7</t>
  </si>
  <si>
    <t>LM-6 Intrepid</t>
  </si>
  <si>
    <t>LM-5 Eagle</t>
  </si>
  <si>
    <t>Ye-8-5 (405)</t>
  </si>
  <si>
    <t>Ye-8 (203)</t>
  </si>
  <si>
    <t>LM-7 Aquarius</t>
  </si>
  <si>
    <t>LM-8 Antares</t>
  </si>
  <si>
    <t>LM-10 Falcon</t>
  </si>
  <si>
    <t>Ye-8-5 (408)</t>
  </si>
  <si>
    <t>LM-11 Orion</t>
  </si>
  <si>
    <t>LM-12 Challenger</t>
  </si>
  <si>
    <t>Ye-8 (204)</t>
  </si>
  <si>
    <t>Ye-8-5 (413)</t>
  </si>
  <si>
    <t>Chang'e 3</t>
  </si>
  <si>
    <t>Beresheet</t>
  </si>
  <si>
    <t>Vikram 1</t>
  </si>
  <si>
    <t>Chang'e 4</t>
  </si>
  <si>
    <t>Chang' 5</t>
  </si>
  <si>
    <t>OMOTENASHI</t>
  </si>
  <si>
    <t>Luna 25</t>
  </si>
  <si>
    <t>Hakuto-R M1</t>
  </si>
  <si>
    <t>SLIM</t>
  </si>
  <si>
    <t>Odysseus</t>
  </si>
  <si>
    <t>Chang'e 6</t>
  </si>
  <si>
    <t>Blueghost</t>
  </si>
  <si>
    <t>Athena</t>
  </si>
  <si>
    <t>Hakuto-R M2</t>
  </si>
  <si>
    <t>success</t>
  </si>
  <si>
    <t>failure</t>
  </si>
  <si>
    <t>Mission name</t>
  </si>
  <si>
    <t>Spacecraft</t>
  </si>
  <si>
    <t>Surveyor 2</t>
  </si>
  <si>
    <t>Surveyor 4</t>
  </si>
  <si>
    <t>Apollo 12</t>
  </si>
  <si>
    <t>Apollo 11</t>
  </si>
  <si>
    <t>Luna 17</t>
  </si>
  <si>
    <t>Luna 16</t>
  </si>
  <si>
    <t>Luna 20</t>
  </si>
  <si>
    <t>Apollo 16</t>
  </si>
  <si>
    <t>Apollo 17</t>
  </si>
  <si>
    <t>Apollo 13</t>
  </si>
  <si>
    <t>Apollo 14</t>
  </si>
  <si>
    <t>Apollo 15</t>
  </si>
  <si>
    <t>Luna 21</t>
  </si>
  <si>
    <t>Luna 24</t>
  </si>
  <si>
    <t>Luna 23</t>
  </si>
  <si>
    <t>Chandrayaan 2</t>
  </si>
  <si>
    <t>IM-1</t>
  </si>
  <si>
    <t>IM-2</t>
  </si>
  <si>
    <t>Blue Ghost Mission 1</t>
  </si>
  <si>
    <t>Luna 15</t>
  </si>
  <si>
    <t>Ye-8-5 (401)</t>
  </si>
  <si>
    <t>Ye-8-5 (406)</t>
  </si>
  <si>
    <t>Ye-8-5 (402)</t>
  </si>
  <si>
    <t>Ye-8-5 (404)</t>
  </si>
  <si>
    <t>Kosmos 300</t>
  </si>
  <si>
    <t>Ye-8-5 (407)</t>
  </si>
  <si>
    <t>Luna 18</t>
  </si>
  <si>
    <t>Ye-8 (201)</t>
  </si>
  <si>
    <t>year</t>
  </si>
  <si>
    <t>Ye-6 (2)</t>
  </si>
  <si>
    <t>Ye-6 (3)</t>
  </si>
  <si>
    <t>Ye-6 (4)</t>
  </si>
  <si>
    <t>Ye-6 (6)</t>
  </si>
  <si>
    <t>Ye-6 (5)</t>
  </si>
  <si>
    <t>Ye-6 (9)</t>
  </si>
  <si>
    <t>Ye-6 (8)</t>
  </si>
  <si>
    <t>Ye-6 (10)</t>
  </si>
  <si>
    <t>Ye-6 (7)</t>
  </si>
  <si>
    <t>Ye-6 (11)</t>
  </si>
  <si>
    <t>Ye-6 (12)</t>
  </si>
  <si>
    <t>Ye-6 (13)</t>
  </si>
  <si>
    <t>Ye-6M (205)</t>
  </si>
  <si>
    <t>Luna 4</t>
  </si>
  <si>
    <t>Luna 6</t>
  </si>
  <si>
    <t>Luna 5</t>
  </si>
  <si>
    <t>Luna 7</t>
  </si>
  <si>
    <t>Kosmos 60</t>
  </si>
  <si>
    <t>Luna8</t>
  </si>
  <si>
    <t>NA</t>
  </si>
  <si>
    <t>totals</t>
  </si>
  <si>
    <t>sources</t>
  </si>
  <si>
    <r>
      <t>NASA (1969) </t>
    </r>
    <r>
      <rPr>
        <i/>
        <sz val="11"/>
        <color theme="1"/>
        <rFont val="Aptos Narrow"/>
        <family val="2"/>
        <scheme val="minor"/>
      </rPr>
      <t>Surveyor Program Results Final Report</t>
    </r>
    <r>
      <rPr>
        <sz val="11"/>
        <color theme="1"/>
        <rFont val="Aptos Narrow"/>
        <family val="2"/>
        <scheme val="minor"/>
      </rPr>
      <t>. Special Publication NASA‑SP‑184. Washington, DC: National Aeronautics and Space Administration.</t>
    </r>
  </si>
  <si>
    <t>Orloff, R. W. (1996) Apollo by the Numbers: A Statistical Reference. NASA History Series, SP‑2000‑4029. Washington, DC: National Aeronautics and Space Administration.</t>
  </si>
  <si>
    <t>Ye-8-5 (403)</t>
  </si>
  <si>
    <t>Kosmos 305</t>
  </si>
  <si>
    <r>
      <t xml:space="preserve">Huntress, W. T. Jr. and Marov, M. Y. (2011) </t>
    </r>
    <r>
      <rPr>
        <i/>
        <sz val="11"/>
        <color theme="1"/>
        <rFont val="Aptos Narrow"/>
        <family val="2"/>
        <scheme val="minor"/>
      </rPr>
      <t>Soviet Robots in the Solar System: Mission Technologies and Discoveries</t>
    </r>
    <r>
      <rPr>
        <sz val="11"/>
        <color theme="1"/>
        <rFont val="Aptos Narrow"/>
        <family val="2"/>
        <scheme val="minor"/>
      </rPr>
      <t>. 1st edn. Space Exploration series. New York, NY: Springer New York.</t>
    </r>
  </si>
  <si>
    <r>
      <t xml:space="preserve">Harvey, B. (2007) </t>
    </r>
    <r>
      <rPr>
        <i/>
        <sz val="11"/>
        <color theme="1"/>
        <rFont val="Aptos Narrow"/>
        <family val="2"/>
        <scheme val="minor"/>
      </rPr>
      <t>Soviet and Russian Lunar Exploration</t>
    </r>
    <r>
      <rPr>
        <sz val="11"/>
        <color theme="1"/>
        <rFont val="Aptos Narrow"/>
        <family val="2"/>
        <scheme val="minor"/>
      </rPr>
      <t>. 1st edn. Springer‑Praxis Books. Berlin; New York, NY: Springer (published in association with Praxis Pub.)</t>
    </r>
  </si>
  <si>
    <t>notes</t>
  </si>
  <si>
    <t>Ye-8-5M (412)</t>
  </si>
  <si>
    <t>Ye-8-5M (410)</t>
  </si>
  <si>
    <t>1, 2</t>
  </si>
  <si>
    <t>5, 6</t>
  </si>
  <si>
    <t>5,6</t>
  </si>
  <si>
    <t>NSSDC. (2018) Chang’e 4. https://nssdc.gsfc.nasa.gov/nmc/spacecraft/display.action?id=2018-103A, 2019. Accessed: 17/6/2022</t>
  </si>
  <si>
    <t>NSSDC (2019). Beresheet. https://nssdc.gsfc.nasa.gov/nmc/spacecraft/display.action?id=2019-009B, 2019. Accessed: 28/02/2022.</t>
  </si>
  <si>
    <t>Qiong Wang and Jizhong Liu (2016). A chang’e-4 mission concept and vision of future chinese lunar exploration activities. Acta Astronautica, 127:678–683, 2016.</t>
  </si>
  <si>
    <t>NSSDCA (2023) Luna 25 (NSSDCA ID: 2023‑118A). NASA  National Space Science Data Center. Available at: https://nssdc.gsfc.nasa.gov/nmc/spacecraft/display.action?id=2023-118A (Accessed: 28 May 2025)</t>
  </si>
  <si>
    <t>NSSDCA (2022) Hakuto-RM1 (NSSDCA ID: 2022‑168A). NASA. Available at: https://nssdc.gsfc.nasa.gov/nmc/spacecraft/display.action?id=2022-168A (Accessed: 8 March 2023)</t>
  </si>
  <si>
    <t>Japan Aerospace Exploration Agency (JAXA). SLIM Media Kit. https://global.jaxa.jp/countdown/slim/SLIM-mediakit-EN_2308.pdf, 2023. Accessed: November 22, 2024</t>
  </si>
  <si>
    <t>NSSDCA (2024) IM-1 NOVA Mission Information (NSSDCA ID: IM-1-NOVA). NASA. Available at: https://nssdc.gsfc.nasa.gov/nmc/spacecraft/display.action?id=IM-1-NOVA (Accessed: 22 November 2024).</t>
  </si>
  <si>
    <t>Firefly Aerospace. Blue Ghost Lunar Lander. https://fireflyspace.com/blue-ghost/, 2024. Accessed:March 29, 2025</t>
  </si>
  <si>
    <t>16, 17</t>
  </si>
  <si>
    <t>NSSDCA (2025) IM-2 Athena (NSSDCA ID: PRIME-1). NASA. Available at: https://nssdc.gsfc.nasa.gov/nmc/spacecraft/display.action?id=PRIME-1 (Accessed: 10 July 2025).</t>
  </si>
  <si>
    <t>NSSDCA (2020) Hakuto-R M2 Resilience (NSSDCA ID: RESILIENC). NASA. Available at: https://nssdc.gsfc.nasa.gov/nmc/spacecraft/display.action?id=RESILIENC (Accessed: 24 June 2025).</t>
  </si>
  <si>
    <t>NSSDCA (2023) Blue Ghost (NSSDCA ID: BLUEGHOST). NASA. Available at: https://nssdc.gsfc.nasa.gov/nmc/spacecraft/display.action?id=BLUEGHOST  (Accessed: 24 June 2025).</t>
  </si>
  <si>
    <t>NSSDCA (2024) Chang’e 6 (NSSDCA ID: CHANG-E-6). NASA. Available at: https://nssdc.gsfc.nasa.gov/nmc/spacecraft/display.action?id=CHANG-E-6  (Accessed: 24 June 2025).</t>
  </si>
  <si>
    <t>NSSDCA (2022) OMOTENASHI (NSSDCA ID: 2022‑156D). NASA  National Space Science Data Center. Available at: https://nssdc.gsfc.nasa.gov/nmc/spacecraft/display.action?id=2022-156D  (Accessed: 24 June 2025).</t>
  </si>
  <si>
    <t>NSSDC (2020) Chang’e 5 (NSSDCA ID: 2020‑087A). NASA National Space Science Data Center. Available at: https://nssdc.gsfc.nasa.gov/nmc/spacecraft/display.action?id=2020-087A  (Accessed: 24 June 2025)</t>
  </si>
  <si>
    <t>NSSDC (2019) Chandrayaan 2 (NSSDCA ID: 2019‑042A). NASA National Space Science Data Center. Available at: https://nssdc.gsfc.nasa.gov/nmc/spacecraft/display.action?id=2019-042A  (Accessed: 24 June 2025)</t>
  </si>
  <si>
    <t>Failed to leave Earth orbit</t>
  </si>
  <si>
    <t>Launch Failure</t>
  </si>
  <si>
    <t>Navigation failed in transit, missed mon</t>
  </si>
  <si>
    <t>impacted lunar surface at high speed</t>
  </si>
  <si>
    <t>midcourse manouvre failed, missed moon</t>
  </si>
  <si>
    <t>NSSDCA (1966) Surveyor 2 (NSSDCA ID: 1966‑084A). NASA. Available at: https://nssdc.gsfc.nasa.gov/nmc/spacecraft/display.action?id=1966-084A (Accessed: 24 June 2025).</t>
  </si>
  <si>
    <t>NSSDCA (1967) Surveyor 4 (NSSDCA ID: 1967‑068A). NASA. Available at: https://nssdc.gsfc.nasa.gov/nmc/spacecraft/display.action?id=1967-068A (Accessed: 24 June 2025).</t>
  </si>
  <si>
    <t>Failed to reach moon, Oxygen tank explosion during TLI</t>
  </si>
  <si>
    <t>Damaged on landing, no return attempted</t>
  </si>
  <si>
    <t>impacted lunar surface at high speed, IMU failure on approach</t>
  </si>
  <si>
    <t>impacted lunar surface at high speed, software error</t>
  </si>
  <si>
    <t>Communications lost after deployment</t>
  </si>
  <si>
    <t>impacted lunar surface at high speed, software error prevented main engine shutdown</t>
  </si>
  <si>
    <t>impacted lunar surface at high speed, software error caused by step change in altitude seen by laser altimeter while passing over a crater</t>
  </si>
  <si>
    <t>landed in incorrect orientation due to high lateral velocity. Problem with laser altimeter</t>
  </si>
  <si>
    <t>impacted lunar surface at high speed, laser altimeter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</si>
</sst>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0" xfId="0" applyFill="1" applyBorder="1" applyAlignment="1">
      <alignment horizontal="left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left"/>
    </xf>
    <xf numFmtId="0" fontId="0" fillId="0" borderId="7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E64D-F86F-460A-998D-DD947BEA4F45}">
  <dimension ref="A1:G83"/>
  <sheetViews>
    <sheetView tabSelected="1" topLeftCell="A39" zoomScale="68" zoomScaleNormal="70" workbookViewId="0">
      <selection activeCell="I61" sqref="I61"/>
    </sheetView>
  </sheetViews>
  <sheetFormatPr baseColWidth="10" defaultRowHeight="15" x14ac:dyDescent="0.25"/>
  <cols>
    <col min="1" max="1" width="17.42578125" customWidth="1"/>
    <col min="2" max="2" width="16.140625" bestFit="1" customWidth="1"/>
    <col min="3" max="3" width="19.42578125" bestFit="1" customWidth="1"/>
    <col min="6" max="6" width="8" bestFit="1" customWidth="1"/>
  </cols>
  <sheetData>
    <row r="1" spans="1:7" ht="15.75" thickBot="1" x14ac:dyDescent="0.3">
      <c r="A1" s="8" t="s">
        <v>65</v>
      </c>
      <c r="B1" s="6" t="s">
        <v>36</v>
      </c>
      <c r="C1" s="6" t="s">
        <v>35</v>
      </c>
      <c r="D1" s="8" t="s">
        <v>33</v>
      </c>
      <c r="E1" s="7" t="s">
        <v>34</v>
      </c>
      <c r="F1" s="18" t="s">
        <v>87</v>
      </c>
      <c r="G1" s="3" t="s">
        <v>94</v>
      </c>
    </row>
    <row r="2" spans="1:7" s="1" customFormat="1" x14ac:dyDescent="0.25">
      <c r="A2" s="3">
        <v>1963</v>
      </c>
      <c r="B2" s="10" t="s">
        <v>66</v>
      </c>
      <c r="C2" s="10" t="s">
        <v>85</v>
      </c>
      <c r="D2" s="11"/>
      <c r="E2" s="12">
        <v>1</v>
      </c>
      <c r="F2" s="4" t="s">
        <v>97</v>
      </c>
      <c r="G2" s="10" t="s">
        <v>116</v>
      </c>
    </row>
    <row r="3" spans="1:7" s="1" customFormat="1" x14ac:dyDescent="0.25">
      <c r="A3" s="3">
        <v>1963</v>
      </c>
      <c r="B3" s="10" t="s">
        <v>67</v>
      </c>
      <c r="C3" s="10" t="s">
        <v>85</v>
      </c>
      <c r="D3" s="11"/>
      <c r="E3" s="12">
        <v>1</v>
      </c>
      <c r="F3" s="4" t="s">
        <v>97</v>
      </c>
      <c r="G3" s="10" t="s">
        <v>117</v>
      </c>
    </row>
    <row r="4" spans="1:7" s="1" customFormat="1" x14ac:dyDescent="0.25">
      <c r="A4" s="3">
        <v>1963</v>
      </c>
      <c r="B4" s="10" t="s">
        <v>68</v>
      </c>
      <c r="C4" s="10" t="s">
        <v>79</v>
      </c>
      <c r="D4" s="11"/>
      <c r="E4" s="12">
        <v>1</v>
      </c>
      <c r="F4" s="4" t="s">
        <v>97</v>
      </c>
      <c r="G4" s="10" t="s">
        <v>118</v>
      </c>
    </row>
    <row r="5" spans="1:7" s="1" customFormat="1" x14ac:dyDescent="0.25">
      <c r="A5" s="3">
        <v>1964</v>
      </c>
      <c r="B5" s="10" t="s">
        <v>69</v>
      </c>
      <c r="C5" s="10" t="s">
        <v>85</v>
      </c>
      <c r="D5" s="11"/>
      <c r="E5" s="12">
        <v>1</v>
      </c>
      <c r="F5" s="4" t="s">
        <v>97</v>
      </c>
      <c r="G5" s="10" t="s">
        <v>117</v>
      </c>
    </row>
    <row r="6" spans="1:7" s="1" customFormat="1" x14ac:dyDescent="0.25">
      <c r="A6" s="3">
        <v>1964</v>
      </c>
      <c r="B6" s="10" t="s">
        <v>70</v>
      </c>
      <c r="C6" s="10" t="s">
        <v>85</v>
      </c>
      <c r="D6" s="11"/>
      <c r="E6" s="12">
        <v>1</v>
      </c>
      <c r="F6" s="4" t="s">
        <v>97</v>
      </c>
      <c r="G6" s="10" t="s">
        <v>117</v>
      </c>
    </row>
    <row r="7" spans="1:7" s="1" customFormat="1" x14ac:dyDescent="0.25">
      <c r="A7" s="3">
        <v>1965</v>
      </c>
      <c r="B7" s="10" t="s">
        <v>71</v>
      </c>
      <c r="C7" s="10" t="s">
        <v>83</v>
      </c>
      <c r="D7" s="11"/>
      <c r="E7" s="12">
        <v>1</v>
      </c>
      <c r="F7" s="4" t="s">
        <v>97</v>
      </c>
      <c r="G7" s="10" t="s">
        <v>116</v>
      </c>
    </row>
    <row r="8" spans="1:7" s="1" customFormat="1" x14ac:dyDescent="0.25">
      <c r="A8" s="3">
        <v>1965</v>
      </c>
      <c r="B8" s="10" t="s">
        <v>72</v>
      </c>
      <c r="C8" s="10" t="s">
        <v>85</v>
      </c>
      <c r="D8" s="11"/>
      <c r="E8" s="12">
        <v>1</v>
      </c>
      <c r="F8" s="4" t="s">
        <v>97</v>
      </c>
      <c r="G8" s="10" t="s">
        <v>116</v>
      </c>
    </row>
    <row r="9" spans="1:7" s="1" customFormat="1" x14ac:dyDescent="0.25">
      <c r="A9" s="3">
        <v>1965</v>
      </c>
      <c r="B9" s="10" t="s">
        <v>73</v>
      </c>
      <c r="C9" s="10" t="s">
        <v>81</v>
      </c>
      <c r="D9" s="11"/>
      <c r="E9" s="12">
        <v>1</v>
      </c>
      <c r="F9" s="4" t="s">
        <v>97</v>
      </c>
      <c r="G9" s="10" t="s">
        <v>119</v>
      </c>
    </row>
    <row r="10" spans="1:7" s="1" customFormat="1" x14ac:dyDescent="0.25">
      <c r="A10" s="3">
        <v>1965</v>
      </c>
      <c r="B10" s="10" t="s">
        <v>74</v>
      </c>
      <c r="C10" s="10" t="s">
        <v>80</v>
      </c>
      <c r="D10" s="11"/>
      <c r="E10" s="12">
        <v>1</v>
      </c>
      <c r="F10" s="4" t="s">
        <v>97</v>
      </c>
      <c r="G10" s="10" t="s">
        <v>120</v>
      </c>
    </row>
    <row r="11" spans="1:7" s="1" customFormat="1" x14ac:dyDescent="0.25">
      <c r="A11" s="3">
        <v>1965</v>
      </c>
      <c r="B11" s="10" t="s">
        <v>75</v>
      </c>
      <c r="C11" s="10" t="s">
        <v>82</v>
      </c>
      <c r="D11" s="11"/>
      <c r="E11" s="12">
        <v>1</v>
      </c>
      <c r="F11" s="4" t="s">
        <v>97</v>
      </c>
      <c r="G11" s="10" t="s">
        <v>119</v>
      </c>
    </row>
    <row r="12" spans="1:7" s="1" customFormat="1" x14ac:dyDescent="0.25">
      <c r="A12" s="3">
        <v>1965</v>
      </c>
      <c r="B12" s="10" t="s">
        <v>76</v>
      </c>
      <c r="C12" s="10" t="s">
        <v>84</v>
      </c>
      <c r="D12" s="11"/>
      <c r="E12" s="12">
        <v>1</v>
      </c>
      <c r="F12" s="4" t="s">
        <v>97</v>
      </c>
      <c r="G12" s="10" t="s">
        <v>119</v>
      </c>
    </row>
    <row r="13" spans="1:7" x14ac:dyDescent="0.25">
      <c r="A13" s="13">
        <v>1966</v>
      </c>
      <c r="B13" s="10" t="s">
        <v>0</v>
      </c>
      <c r="C13" s="10" t="s">
        <v>0</v>
      </c>
      <c r="D13" s="11">
        <v>1</v>
      </c>
      <c r="E13" s="12"/>
      <c r="F13" s="4">
        <v>3</v>
      </c>
      <c r="G13" s="10"/>
    </row>
    <row r="14" spans="1:7" s="1" customFormat="1" x14ac:dyDescent="0.25">
      <c r="A14" s="13">
        <v>1966</v>
      </c>
      <c r="B14" s="10" t="s">
        <v>37</v>
      </c>
      <c r="C14" s="10" t="s">
        <v>37</v>
      </c>
      <c r="D14" s="11"/>
      <c r="E14" s="12">
        <v>1</v>
      </c>
      <c r="F14" s="4">
        <v>20</v>
      </c>
      <c r="G14" s="10" t="s">
        <v>119</v>
      </c>
    </row>
    <row r="15" spans="1:7" x14ac:dyDescent="0.25">
      <c r="A15" s="13">
        <v>1966</v>
      </c>
      <c r="B15" s="10" t="s">
        <v>77</v>
      </c>
      <c r="C15" s="10" t="s">
        <v>1</v>
      </c>
      <c r="D15" s="11">
        <v>1</v>
      </c>
      <c r="E15" s="12"/>
      <c r="F15" s="4" t="s">
        <v>97</v>
      </c>
    </row>
    <row r="16" spans="1:7" x14ac:dyDescent="0.25">
      <c r="A16" s="13">
        <v>1966</v>
      </c>
      <c r="B16" s="10" t="s">
        <v>78</v>
      </c>
      <c r="C16" s="10" t="s">
        <v>2</v>
      </c>
      <c r="D16" s="11">
        <v>1</v>
      </c>
      <c r="E16" s="12"/>
      <c r="F16" s="4" t="s">
        <v>97</v>
      </c>
    </row>
    <row r="17" spans="1:7" s="1" customFormat="1" x14ac:dyDescent="0.25">
      <c r="A17" s="3">
        <v>1966</v>
      </c>
      <c r="B17" s="10" t="s">
        <v>38</v>
      </c>
      <c r="C17" s="10" t="s">
        <v>38</v>
      </c>
      <c r="D17" s="11"/>
      <c r="E17" s="12">
        <v>1</v>
      </c>
      <c r="F17" s="4">
        <v>21</v>
      </c>
      <c r="G17" s="1" t="s">
        <v>119</v>
      </c>
    </row>
    <row r="18" spans="1:7" x14ac:dyDescent="0.25">
      <c r="A18" s="13">
        <v>1967</v>
      </c>
      <c r="B18" s="10" t="s">
        <v>3</v>
      </c>
      <c r="C18" s="10" t="s">
        <v>3</v>
      </c>
      <c r="D18" s="11">
        <v>1</v>
      </c>
      <c r="E18" s="12"/>
      <c r="F18" s="4">
        <v>3</v>
      </c>
    </row>
    <row r="19" spans="1:7" x14ac:dyDescent="0.25">
      <c r="A19" s="13">
        <v>1967</v>
      </c>
      <c r="B19" s="10" t="s">
        <v>4</v>
      </c>
      <c r="C19" s="10" t="s">
        <v>4</v>
      </c>
      <c r="D19" s="11">
        <v>1</v>
      </c>
      <c r="E19" s="12"/>
      <c r="F19" s="4">
        <v>3</v>
      </c>
    </row>
    <row r="20" spans="1:7" x14ac:dyDescent="0.25">
      <c r="A20" s="13">
        <v>1967</v>
      </c>
      <c r="B20" s="10" t="s">
        <v>5</v>
      </c>
      <c r="C20" s="10" t="s">
        <v>5</v>
      </c>
      <c r="D20" s="11">
        <v>1</v>
      </c>
      <c r="E20" s="12"/>
      <c r="F20" s="4">
        <v>3</v>
      </c>
    </row>
    <row r="21" spans="1:7" x14ac:dyDescent="0.25">
      <c r="A21" s="13">
        <v>1968</v>
      </c>
      <c r="B21" s="10" t="s">
        <v>6</v>
      </c>
      <c r="C21" s="10" t="s">
        <v>6</v>
      </c>
      <c r="D21" s="11">
        <v>1</v>
      </c>
      <c r="E21" s="12"/>
      <c r="F21" s="4">
        <v>3</v>
      </c>
    </row>
    <row r="22" spans="1:7" x14ac:dyDescent="0.25">
      <c r="A22" s="13">
        <v>1969</v>
      </c>
      <c r="B22" s="10" t="s">
        <v>7</v>
      </c>
      <c r="C22" s="10" t="s">
        <v>39</v>
      </c>
      <c r="D22" s="11">
        <v>1</v>
      </c>
      <c r="E22" s="12"/>
      <c r="F22" s="20">
        <v>4</v>
      </c>
    </row>
    <row r="23" spans="1:7" x14ac:dyDescent="0.25">
      <c r="A23" s="13">
        <v>1969</v>
      </c>
      <c r="B23" s="10" t="s">
        <v>8</v>
      </c>
      <c r="C23" s="10" t="s">
        <v>40</v>
      </c>
      <c r="D23" s="11">
        <v>1</v>
      </c>
      <c r="E23" s="12"/>
      <c r="F23" s="4">
        <v>4</v>
      </c>
    </row>
    <row r="24" spans="1:7" s="1" customFormat="1" x14ac:dyDescent="0.25">
      <c r="A24" s="13">
        <v>1969</v>
      </c>
      <c r="B24" s="10" t="s">
        <v>57</v>
      </c>
      <c r="C24" s="10" t="s">
        <v>56</v>
      </c>
      <c r="D24" s="11"/>
      <c r="E24" s="12">
        <v>1</v>
      </c>
      <c r="F24" s="4">
        <v>1</v>
      </c>
      <c r="G24" s="1" t="s">
        <v>117</v>
      </c>
    </row>
    <row r="25" spans="1:7" s="1" customFormat="1" x14ac:dyDescent="0.25">
      <c r="A25" s="13">
        <v>1969</v>
      </c>
      <c r="B25" s="10" t="s">
        <v>59</v>
      </c>
      <c r="C25" s="10" t="s">
        <v>85</v>
      </c>
      <c r="D25" s="11"/>
      <c r="E25" s="12">
        <v>1</v>
      </c>
      <c r="F25" s="4">
        <v>1</v>
      </c>
      <c r="G25" s="1" t="s">
        <v>117</v>
      </c>
    </row>
    <row r="26" spans="1:7" s="1" customFormat="1" x14ac:dyDescent="0.25">
      <c r="A26" s="13">
        <v>1969</v>
      </c>
      <c r="B26" s="10" t="s">
        <v>90</v>
      </c>
      <c r="C26" s="10" t="s">
        <v>61</v>
      </c>
      <c r="D26" s="11"/>
      <c r="E26" s="12">
        <v>1</v>
      </c>
      <c r="F26" s="4">
        <v>1</v>
      </c>
      <c r="G26" s="1" t="s">
        <v>116</v>
      </c>
    </row>
    <row r="27" spans="1:7" s="1" customFormat="1" x14ac:dyDescent="0.25">
      <c r="A27" s="13">
        <v>1969</v>
      </c>
      <c r="B27" s="10" t="s">
        <v>60</v>
      </c>
      <c r="C27" s="10" t="s">
        <v>91</v>
      </c>
      <c r="D27" s="11"/>
      <c r="E27" s="12">
        <v>1</v>
      </c>
      <c r="F27" s="4">
        <v>1</v>
      </c>
      <c r="G27" s="1" t="s">
        <v>116</v>
      </c>
    </row>
    <row r="28" spans="1:7" s="1" customFormat="1" x14ac:dyDescent="0.25">
      <c r="A28" s="13">
        <v>1969</v>
      </c>
      <c r="B28" s="10" t="s">
        <v>64</v>
      </c>
      <c r="C28" s="10" t="s">
        <v>85</v>
      </c>
      <c r="D28" s="11"/>
      <c r="E28" s="12">
        <v>1</v>
      </c>
      <c r="F28" s="4">
        <v>1</v>
      </c>
      <c r="G28" s="1" t="s">
        <v>117</v>
      </c>
    </row>
    <row r="29" spans="1:7" x14ac:dyDescent="0.25">
      <c r="A29" s="13">
        <v>1970</v>
      </c>
      <c r="B29" s="10" t="s">
        <v>9</v>
      </c>
      <c r="C29" s="10" t="s">
        <v>85</v>
      </c>
      <c r="D29" s="11"/>
      <c r="E29" s="12">
        <v>1</v>
      </c>
      <c r="F29" s="4">
        <v>1</v>
      </c>
      <c r="G29" t="s">
        <v>117</v>
      </c>
    </row>
    <row r="30" spans="1:7" x14ac:dyDescent="0.25">
      <c r="A30" s="13">
        <v>1970</v>
      </c>
      <c r="B30" s="10" t="s">
        <v>10</v>
      </c>
      <c r="C30" s="10" t="s">
        <v>41</v>
      </c>
      <c r="D30" s="11">
        <v>1</v>
      </c>
      <c r="E30" s="12"/>
      <c r="F30" s="4">
        <v>1</v>
      </c>
    </row>
    <row r="31" spans="1:7" s="1" customFormat="1" x14ac:dyDescent="0.25">
      <c r="A31" s="13">
        <v>1970</v>
      </c>
      <c r="B31" s="10" t="s">
        <v>58</v>
      </c>
      <c r="C31" s="10" t="s">
        <v>42</v>
      </c>
      <c r="D31" s="11">
        <v>1</v>
      </c>
      <c r="E31" s="12"/>
      <c r="F31" s="4">
        <v>1</v>
      </c>
    </row>
    <row r="32" spans="1:7" x14ac:dyDescent="0.25">
      <c r="A32" s="13">
        <v>1970</v>
      </c>
      <c r="B32" s="10" t="s">
        <v>11</v>
      </c>
      <c r="C32" s="10" t="s">
        <v>46</v>
      </c>
      <c r="D32" s="11"/>
      <c r="E32" s="12">
        <v>1</v>
      </c>
      <c r="F32" s="4">
        <v>4</v>
      </c>
      <c r="G32" t="s">
        <v>123</v>
      </c>
    </row>
    <row r="33" spans="1:7" s="1" customFormat="1" x14ac:dyDescent="0.25">
      <c r="A33" s="13">
        <v>1971</v>
      </c>
      <c r="B33" s="10" t="s">
        <v>62</v>
      </c>
      <c r="C33" s="10" t="s">
        <v>63</v>
      </c>
      <c r="D33" s="11"/>
      <c r="E33" s="12">
        <v>1</v>
      </c>
      <c r="F33" s="4">
        <v>1</v>
      </c>
      <c r="G33" s="1" t="s">
        <v>119</v>
      </c>
    </row>
    <row r="34" spans="1:7" x14ac:dyDescent="0.25">
      <c r="A34" s="13">
        <v>1971</v>
      </c>
      <c r="B34" s="10" t="s">
        <v>12</v>
      </c>
      <c r="C34" s="10" t="s">
        <v>47</v>
      </c>
      <c r="D34" s="11">
        <v>1</v>
      </c>
      <c r="E34" s="12"/>
      <c r="F34" s="4">
        <v>4</v>
      </c>
    </row>
    <row r="35" spans="1:7" x14ac:dyDescent="0.25">
      <c r="A35" s="13">
        <v>1971</v>
      </c>
      <c r="B35" s="10" t="s">
        <v>13</v>
      </c>
      <c r="C35" s="10" t="s">
        <v>48</v>
      </c>
      <c r="D35" s="11">
        <v>1</v>
      </c>
      <c r="E35" s="12"/>
      <c r="F35" s="4">
        <v>4</v>
      </c>
    </row>
    <row r="36" spans="1:7" x14ac:dyDescent="0.25">
      <c r="A36" s="13">
        <v>1972</v>
      </c>
      <c r="B36" s="10" t="s">
        <v>14</v>
      </c>
      <c r="C36" s="10" t="s">
        <v>43</v>
      </c>
      <c r="D36" s="11">
        <v>1</v>
      </c>
      <c r="E36" s="12"/>
      <c r="F36" s="4">
        <v>1</v>
      </c>
    </row>
    <row r="37" spans="1:7" x14ac:dyDescent="0.25">
      <c r="A37" s="13">
        <v>1972</v>
      </c>
      <c r="B37" s="10" t="s">
        <v>15</v>
      </c>
      <c r="C37" s="10" t="s">
        <v>44</v>
      </c>
      <c r="D37" s="11">
        <v>1</v>
      </c>
      <c r="E37" s="12"/>
      <c r="F37" s="4">
        <v>4</v>
      </c>
    </row>
    <row r="38" spans="1:7" x14ac:dyDescent="0.25">
      <c r="A38" s="13">
        <v>1972</v>
      </c>
      <c r="B38" s="10" t="s">
        <v>16</v>
      </c>
      <c r="C38" s="10" t="s">
        <v>45</v>
      </c>
      <c r="D38" s="11">
        <v>1</v>
      </c>
      <c r="E38" s="12"/>
      <c r="F38" s="4">
        <v>4</v>
      </c>
    </row>
    <row r="39" spans="1:7" x14ac:dyDescent="0.25">
      <c r="A39" s="13">
        <v>1973</v>
      </c>
      <c r="B39" s="10" t="s">
        <v>17</v>
      </c>
      <c r="C39" s="10" t="s">
        <v>49</v>
      </c>
      <c r="D39" s="11">
        <v>1</v>
      </c>
      <c r="E39" s="12"/>
      <c r="F39" s="4">
        <v>1</v>
      </c>
    </row>
    <row r="40" spans="1:7" s="1" customFormat="1" x14ac:dyDescent="0.25">
      <c r="A40" s="13">
        <v>1975</v>
      </c>
      <c r="B40" s="10" t="s">
        <v>95</v>
      </c>
      <c r="C40" s="10" t="s">
        <v>85</v>
      </c>
      <c r="D40" s="11"/>
      <c r="E40" s="12">
        <v>1</v>
      </c>
      <c r="F40" s="4">
        <v>1</v>
      </c>
      <c r="G40" s="1" t="s">
        <v>117</v>
      </c>
    </row>
    <row r="41" spans="1:7" s="1" customFormat="1" x14ac:dyDescent="0.25">
      <c r="A41" s="13">
        <v>1974</v>
      </c>
      <c r="B41" s="10" t="s">
        <v>96</v>
      </c>
      <c r="C41" s="10" t="s">
        <v>51</v>
      </c>
      <c r="D41" s="11"/>
      <c r="E41" s="12">
        <v>1</v>
      </c>
      <c r="F41" s="4">
        <v>1</v>
      </c>
      <c r="G41" s="1" t="s">
        <v>124</v>
      </c>
    </row>
    <row r="42" spans="1:7" x14ac:dyDescent="0.25">
      <c r="A42" s="13">
        <v>1976</v>
      </c>
      <c r="B42" s="10" t="s">
        <v>18</v>
      </c>
      <c r="C42" s="10" t="s">
        <v>50</v>
      </c>
      <c r="D42" s="11">
        <v>1</v>
      </c>
      <c r="E42" s="12"/>
      <c r="F42" s="4">
        <v>1</v>
      </c>
    </row>
    <row r="43" spans="1:7" x14ac:dyDescent="0.25">
      <c r="A43" s="13">
        <v>2013</v>
      </c>
      <c r="B43" s="10" t="s">
        <v>19</v>
      </c>
      <c r="C43" s="10" t="s">
        <v>19</v>
      </c>
      <c r="D43" s="11">
        <v>1</v>
      </c>
      <c r="E43" s="12"/>
      <c r="F43" s="4" t="s">
        <v>98</v>
      </c>
    </row>
    <row r="44" spans="1:7" x14ac:dyDescent="0.25">
      <c r="A44" s="13">
        <v>2019</v>
      </c>
      <c r="B44" s="10" t="s">
        <v>20</v>
      </c>
      <c r="C44" s="10" t="s">
        <v>20</v>
      </c>
      <c r="D44" s="11"/>
      <c r="E44" s="12">
        <v>1</v>
      </c>
      <c r="F44" s="4">
        <v>7</v>
      </c>
      <c r="G44" t="s">
        <v>125</v>
      </c>
    </row>
    <row r="45" spans="1:7" x14ac:dyDescent="0.25">
      <c r="A45" s="13">
        <v>2019</v>
      </c>
      <c r="B45" s="10" t="s">
        <v>21</v>
      </c>
      <c r="C45" s="10" t="s">
        <v>52</v>
      </c>
      <c r="D45" s="11"/>
      <c r="E45" s="12">
        <v>1</v>
      </c>
      <c r="F45" s="4">
        <v>8</v>
      </c>
      <c r="G45" t="s">
        <v>126</v>
      </c>
    </row>
    <row r="46" spans="1:7" x14ac:dyDescent="0.25">
      <c r="A46" s="13">
        <v>2019</v>
      </c>
      <c r="B46" s="10" t="s">
        <v>22</v>
      </c>
      <c r="C46" s="10" t="s">
        <v>22</v>
      </c>
      <c r="D46" s="11">
        <v>1</v>
      </c>
      <c r="E46" s="12"/>
      <c r="F46" s="4" t="s">
        <v>99</v>
      </c>
    </row>
    <row r="47" spans="1:7" x14ac:dyDescent="0.25">
      <c r="A47" s="13">
        <v>2020</v>
      </c>
      <c r="B47" s="10" t="s">
        <v>23</v>
      </c>
      <c r="C47" s="10" t="s">
        <v>23</v>
      </c>
      <c r="D47" s="11">
        <v>1</v>
      </c>
      <c r="E47" s="12"/>
      <c r="F47" s="4">
        <v>9</v>
      </c>
    </row>
    <row r="48" spans="1:7" x14ac:dyDescent="0.25">
      <c r="A48" s="13">
        <v>2022</v>
      </c>
      <c r="B48" s="10" t="s">
        <v>24</v>
      </c>
      <c r="C48" s="10" t="s">
        <v>24</v>
      </c>
      <c r="D48" s="11"/>
      <c r="E48" s="12">
        <v>1</v>
      </c>
      <c r="F48" s="4">
        <v>10</v>
      </c>
      <c r="G48" t="s">
        <v>127</v>
      </c>
    </row>
    <row r="49" spans="1:7" x14ac:dyDescent="0.25">
      <c r="A49" s="13">
        <v>2023</v>
      </c>
      <c r="B49" s="10" t="s">
        <v>25</v>
      </c>
      <c r="C49" s="10" t="s">
        <v>25</v>
      </c>
      <c r="D49" s="11"/>
      <c r="E49" s="12">
        <v>1</v>
      </c>
      <c r="F49" s="4">
        <v>11</v>
      </c>
      <c r="G49" s="1" t="s">
        <v>128</v>
      </c>
    </row>
    <row r="50" spans="1:7" x14ac:dyDescent="0.25">
      <c r="A50" s="13">
        <v>2023</v>
      </c>
      <c r="B50" s="10" t="s">
        <v>26</v>
      </c>
      <c r="C50" s="10" t="s">
        <v>26</v>
      </c>
      <c r="D50" s="11"/>
      <c r="E50" s="12">
        <v>1</v>
      </c>
      <c r="F50" s="4">
        <v>12</v>
      </c>
      <c r="G50" t="s">
        <v>129</v>
      </c>
    </row>
    <row r="51" spans="1:7" x14ac:dyDescent="0.25">
      <c r="A51" s="13">
        <v>2024</v>
      </c>
      <c r="B51" s="10" t="s">
        <v>27</v>
      </c>
      <c r="C51" s="10" t="s">
        <v>27</v>
      </c>
      <c r="D51" s="11">
        <v>1</v>
      </c>
      <c r="E51" s="12"/>
      <c r="F51" s="4">
        <v>13</v>
      </c>
    </row>
    <row r="52" spans="1:7" x14ac:dyDescent="0.25">
      <c r="A52" s="13">
        <v>2024</v>
      </c>
      <c r="B52" s="10" t="s">
        <v>28</v>
      </c>
      <c r="C52" s="10" t="s">
        <v>53</v>
      </c>
      <c r="D52" s="11">
        <v>1</v>
      </c>
      <c r="E52" s="12"/>
      <c r="F52" s="4">
        <v>14</v>
      </c>
    </row>
    <row r="53" spans="1:7" x14ac:dyDescent="0.25">
      <c r="A53" s="13">
        <v>2024</v>
      </c>
      <c r="B53" s="10" t="s">
        <v>29</v>
      </c>
      <c r="C53" s="10" t="s">
        <v>29</v>
      </c>
      <c r="D53" s="11">
        <v>1</v>
      </c>
      <c r="E53" s="12"/>
      <c r="F53" s="4">
        <v>15</v>
      </c>
    </row>
    <row r="54" spans="1:7" x14ac:dyDescent="0.25">
      <c r="A54" s="13">
        <v>2025</v>
      </c>
      <c r="B54" s="10" t="s">
        <v>30</v>
      </c>
      <c r="C54" s="10" t="s">
        <v>55</v>
      </c>
      <c r="D54" s="11">
        <v>1</v>
      </c>
      <c r="E54" s="12"/>
      <c r="F54" s="4" t="s">
        <v>108</v>
      </c>
    </row>
    <row r="55" spans="1:7" x14ac:dyDescent="0.25">
      <c r="A55" s="13">
        <v>2025</v>
      </c>
      <c r="B55" s="10" t="s">
        <v>31</v>
      </c>
      <c r="C55" s="10" t="s">
        <v>54</v>
      </c>
      <c r="D55" s="11"/>
      <c r="E55" s="12">
        <v>1</v>
      </c>
      <c r="F55" s="4">
        <v>18</v>
      </c>
      <c r="G55" t="s">
        <v>130</v>
      </c>
    </row>
    <row r="56" spans="1:7" ht="15.75" thickBot="1" x14ac:dyDescent="0.3">
      <c r="A56" s="14">
        <v>2025</v>
      </c>
      <c r="B56" s="15" t="s">
        <v>32</v>
      </c>
      <c r="C56" s="15" t="s">
        <v>32</v>
      </c>
      <c r="D56" s="17"/>
      <c r="E56" s="16">
        <v>1</v>
      </c>
      <c r="F56" s="4">
        <v>19</v>
      </c>
      <c r="G56" t="s">
        <v>131</v>
      </c>
    </row>
    <row r="57" spans="1:7" ht="15.75" thickBot="1" x14ac:dyDescent="0.3">
      <c r="A57" s="8" t="s">
        <v>86</v>
      </c>
      <c r="B57" s="5"/>
      <c r="C57" s="5"/>
      <c r="D57" s="8">
        <f>SUM(D2:D56)</f>
        <v>25</v>
      </c>
      <c r="E57" s="7">
        <f>SUM(E2:E56)</f>
        <v>30</v>
      </c>
      <c r="F57" s="4"/>
    </row>
    <row r="60" spans="1:7" x14ac:dyDescent="0.25">
      <c r="A60" s="9" t="s">
        <v>87</v>
      </c>
      <c r="B60" s="9"/>
    </row>
    <row r="61" spans="1:7" x14ac:dyDescent="0.25">
      <c r="A61" s="2">
        <v>1</v>
      </c>
      <c r="B61" s="1" t="s">
        <v>92</v>
      </c>
    </row>
    <row r="62" spans="1:7" x14ac:dyDescent="0.25">
      <c r="A62" s="2">
        <v>2</v>
      </c>
      <c r="B62" s="19" t="s">
        <v>93</v>
      </c>
    </row>
    <row r="63" spans="1:7" x14ac:dyDescent="0.25">
      <c r="A63" s="2">
        <v>3</v>
      </c>
      <c r="B63" s="1" t="s">
        <v>88</v>
      </c>
    </row>
    <row r="64" spans="1:7" x14ac:dyDescent="0.25">
      <c r="A64" s="2">
        <v>4</v>
      </c>
      <c r="B64" s="1" t="s">
        <v>89</v>
      </c>
    </row>
    <row r="65" spans="1:2" x14ac:dyDescent="0.25">
      <c r="A65" s="2">
        <v>5</v>
      </c>
      <c r="B65" s="1" t="s">
        <v>102</v>
      </c>
    </row>
    <row r="66" spans="1:2" x14ac:dyDescent="0.25">
      <c r="A66" s="2">
        <v>6</v>
      </c>
      <c r="B66" s="1" t="s">
        <v>100</v>
      </c>
    </row>
    <row r="67" spans="1:2" x14ac:dyDescent="0.25">
      <c r="A67" s="2">
        <v>7</v>
      </c>
      <c r="B67" s="1" t="s">
        <v>101</v>
      </c>
    </row>
    <row r="68" spans="1:2" x14ac:dyDescent="0.25">
      <c r="A68" s="2">
        <v>8</v>
      </c>
      <c r="B68" s="1" t="s">
        <v>115</v>
      </c>
    </row>
    <row r="69" spans="1:2" x14ac:dyDescent="0.25">
      <c r="A69" s="2">
        <v>9</v>
      </c>
      <c r="B69" s="1" t="s">
        <v>114</v>
      </c>
    </row>
    <row r="70" spans="1:2" x14ac:dyDescent="0.25">
      <c r="A70" s="2">
        <v>10</v>
      </c>
      <c r="B70" s="1" t="s">
        <v>113</v>
      </c>
    </row>
    <row r="71" spans="1:2" x14ac:dyDescent="0.25">
      <c r="A71" s="2">
        <v>11</v>
      </c>
      <c r="B71" s="1" t="s">
        <v>103</v>
      </c>
    </row>
    <row r="72" spans="1:2" x14ac:dyDescent="0.25">
      <c r="A72" s="2">
        <v>12</v>
      </c>
      <c r="B72" s="1" t="s">
        <v>104</v>
      </c>
    </row>
    <row r="73" spans="1:2" x14ac:dyDescent="0.25">
      <c r="A73" s="2">
        <v>13</v>
      </c>
      <c r="B73" s="1" t="s">
        <v>105</v>
      </c>
    </row>
    <row r="74" spans="1:2" x14ac:dyDescent="0.25">
      <c r="A74" s="2">
        <v>14</v>
      </c>
      <c r="B74" s="1" t="s">
        <v>106</v>
      </c>
    </row>
    <row r="75" spans="1:2" x14ac:dyDescent="0.25">
      <c r="A75" s="2">
        <v>15</v>
      </c>
      <c r="B75" s="1" t="s">
        <v>112</v>
      </c>
    </row>
    <row r="76" spans="1:2" x14ac:dyDescent="0.25">
      <c r="A76" s="2">
        <v>16</v>
      </c>
      <c r="B76" s="1" t="s">
        <v>111</v>
      </c>
    </row>
    <row r="77" spans="1:2" x14ac:dyDescent="0.25">
      <c r="A77" s="2">
        <v>17</v>
      </c>
      <c r="B77" s="1" t="s">
        <v>107</v>
      </c>
    </row>
    <row r="78" spans="1:2" x14ac:dyDescent="0.25">
      <c r="A78" s="2">
        <v>18</v>
      </c>
      <c r="B78" s="1" t="s">
        <v>109</v>
      </c>
    </row>
    <row r="79" spans="1:2" x14ac:dyDescent="0.25">
      <c r="A79" s="2">
        <v>19</v>
      </c>
      <c r="B79" s="1" t="s">
        <v>110</v>
      </c>
    </row>
    <row r="80" spans="1:2" x14ac:dyDescent="0.25">
      <c r="A80" s="2">
        <v>20</v>
      </c>
      <c r="B80" s="1" t="s">
        <v>121</v>
      </c>
    </row>
    <row r="81" spans="1:2" x14ac:dyDescent="0.25">
      <c r="A81" s="2">
        <v>21</v>
      </c>
      <c r="B81" s="1" t="s">
        <v>122</v>
      </c>
    </row>
    <row r="83" spans="1:2" x14ac:dyDescent="0.25">
      <c r="B8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2025-07-09T16:10:57Z</dcterms:created>
  <dcterms:modified xsi:type="dcterms:W3CDTF">2025-07-10T17:05:27Z</dcterms:modified>
</cp:coreProperties>
</file>