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0ABB115C-3E40-4634-8A9A-8FFA492CFE00}" xr6:coauthVersionLast="47" xr6:coauthVersionMax="47" xr10:uidLastSave="{00000000-0000-0000-0000-000000000000}"/>
  <bookViews>
    <workbookView xWindow="11424" yWindow="0" windowWidth="11712" windowHeight="12336" activeTab="1" xr2:uid="{26281CD5-8718-4C48-A2D9-78A497C5F058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D20" i="2"/>
  <c r="D19" i="2"/>
  <c r="D16" i="2"/>
  <c r="D15" i="2"/>
  <c r="D14" i="2"/>
  <c r="D13" i="2"/>
  <c r="D12" i="2"/>
  <c r="D11" i="2"/>
  <c r="D4" i="2"/>
  <c r="D5" i="2"/>
  <c r="D6" i="2"/>
  <c r="D7" i="2"/>
  <c r="D8" i="2"/>
  <c r="D3" i="2"/>
</calcChain>
</file>

<file path=xl/sharedStrings.xml><?xml version="1.0" encoding="utf-8"?>
<sst xmlns="http://schemas.openxmlformats.org/spreadsheetml/2006/main" count="63" uniqueCount="35">
  <si>
    <t>routine_Ramos_N2O4</t>
  </si>
  <si>
    <t>routine_Ramos_N2O4_iter</t>
  </si>
  <si>
    <t>routine_all_linear</t>
  </si>
  <si>
    <t>routine_Isaji_N2O4</t>
  </si>
  <si>
    <t>routine_Isaji_N2O4_MLR</t>
  </si>
  <si>
    <t>routine_stat_MLR_iter</t>
  </si>
  <si>
    <t>routine_I_N2O4_MLR_iter</t>
  </si>
  <si>
    <t>routine_stat_MLR_noloop</t>
  </si>
  <si>
    <t>mt</t>
  </si>
  <si>
    <t>md</t>
  </si>
  <si>
    <t>mprop</t>
  </si>
  <si>
    <t>mp</t>
  </si>
  <si>
    <t>STR</t>
  </si>
  <si>
    <t>PRPL</t>
  </si>
  <si>
    <t>AVIO</t>
  </si>
  <si>
    <t>POW</t>
  </si>
  <si>
    <t>THER</t>
  </si>
  <si>
    <t>OTH</t>
  </si>
  <si>
    <t>routine_MPR_noloop</t>
  </si>
  <si>
    <t>delta</t>
  </si>
  <si>
    <t>init con</t>
  </si>
  <si>
    <t>action</t>
  </si>
  <si>
    <t>include_bias = false</t>
  </si>
  <si>
    <t>include bias = True</t>
  </si>
  <si>
    <t>fit intercept = false</t>
  </si>
  <si>
    <t>fit intercept = true</t>
  </si>
  <si>
    <t>positive = False</t>
  </si>
  <si>
    <t>positive = True</t>
  </si>
  <si>
    <t>median % errors</t>
  </si>
  <si>
    <t>MPR, LM</t>
  </si>
  <si>
    <t>MPR ESAS</t>
  </si>
  <si>
    <t>routine_stat_MLR_iter, LM</t>
  </si>
  <si>
    <t>routine_stat_MLR_iter, ESAS</t>
  </si>
  <si>
    <t>EUCASS results, LM</t>
  </si>
  <si>
    <t>routine_ramos_N2O4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</si>
</sst>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2C1-C6B4-4AF5-80F1-A4BF966E5AC0}">
  <dimension ref="A3:J14"/>
  <sheetViews>
    <sheetView workbookViewId="0">
      <selection activeCell="H17" sqref="H17"/>
    </sheetView>
  </sheetViews>
  <sheetFormatPr baseColWidth="10" defaultRowHeight="14.4" x14ac:dyDescent="0.3"/>
  <cols>
    <col min="1" max="1" width="18.5546875" bestFit="1" customWidth="1"/>
    <col min="2" max="2" width="21.33203125" customWidth="1"/>
    <col min="3" max="3" width="22.109375" bestFit="1" customWidth="1"/>
    <col min="4" max="4" width="14.6640625" bestFit="1" customWidth="1"/>
    <col min="5" max="5" width="16.21875" bestFit="1" customWidth="1"/>
    <col min="6" max="6" width="20.44140625" bestFit="1" customWidth="1"/>
    <col min="7" max="7" width="18.21875" bestFit="1" customWidth="1"/>
    <col min="8" max="8" width="21.21875" bestFit="1" customWidth="1"/>
    <col min="9" max="10" width="21" bestFit="1" customWidth="1"/>
  </cols>
  <sheetData>
    <row r="3" spans="1:10" x14ac:dyDescent="0.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18</v>
      </c>
    </row>
    <row r="4" spans="1:10" x14ac:dyDescent="0.3">
      <c r="A4" s="1" t="s">
        <v>8</v>
      </c>
      <c r="B4" s="1">
        <v>37.69</v>
      </c>
      <c r="C4" s="1">
        <v>42.695</v>
      </c>
      <c r="D4" s="1">
        <v>27.48</v>
      </c>
      <c r="E4" s="1">
        <v>28.11</v>
      </c>
      <c r="F4" s="1">
        <v>16.504999999999999</v>
      </c>
      <c r="G4" s="1">
        <v>16.78</v>
      </c>
      <c r="H4" s="1">
        <v>16.78</v>
      </c>
      <c r="I4" s="1">
        <v>14.185</v>
      </c>
      <c r="J4" s="1">
        <v>10.425000000000001</v>
      </c>
    </row>
    <row r="5" spans="1:10" x14ac:dyDescent="0.3">
      <c r="A5" s="1" t="s">
        <v>9</v>
      </c>
      <c r="B5" s="1">
        <v>72.784999999999997</v>
      </c>
      <c r="C5" s="1">
        <v>89.41</v>
      </c>
      <c r="D5" s="1">
        <v>41.125</v>
      </c>
      <c r="E5" s="1">
        <v>56.55</v>
      </c>
      <c r="F5" s="1">
        <v>29.34</v>
      </c>
      <c r="G5" s="1">
        <v>30.215</v>
      </c>
      <c r="H5" s="1">
        <v>30.215</v>
      </c>
      <c r="I5" s="1">
        <v>44.954999999999998</v>
      </c>
      <c r="J5" s="1">
        <v>36.244999999999997</v>
      </c>
    </row>
    <row r="6" spans="1:10" x14ac:dyDescent="0.3">
      <c r="A6" s="1" t="s">
        <v>10</v>
      </c>
      <c r="B6" s="1">
        <v>57.04</v>
      </c>
      <c r="C6" s="1">
        <v>57.04</v>
      </c>
      <c r="D6" s="1">
        <v>59.015000000000001</v>
      </c>
      <c r="E6" s="1">
        <v>30.6</v>
      </c>
      <c r="F6" s="1">
        <v>41.71</v>
      </c>
      <c r="G6" s="1">
        <v>57.024999999999999</v>
      </c>
      <c r="H6" s="1">
        <v>57.024999999999999</v>
      </c>
      <c r="I6" s="1">
        <v>59.274999999999999</v>
      </c>
      <c r="J6" s="1">
        <v>61.11</v>
      </c>
    </row>
    <row r="7" spans="1:10" x14ac:dyDescent="0.3">
      <c r="A7" s="2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3">
      <c r="A8" s="1" t="s">
        <v>12</v>
      </c>
      <c r="B8" s="1">
        <v>54.524999999999999</v>
      </c>
      <c r="C8" s="1">
        <v>54.524999999999999</v>
      </c>
      <c r="D8" s="1">
        <v>65.569999999999993</v>
      </c>
      <c r="E8" s="1">
        <v>37.53</v>
      </c>
      <c r="F8" s="1">
        <v>23.88</v>
      </c>
      <c r="G8" s="1">
        <v>32.92</v>
      </c>
      <c r="H8" s="1">
        <v>32.92</v>
      </c>
      <c r="I8" s="1">
        <v>37.104999999999997</v>
      </c>
      <c r="J8" s="1">
        <v>29.155000000000001</v>
      </c>
    </row>
    <row r="9" spans="1:10" x14ac:dyDescent="0.3">
      <c r="A9" s="1" t="s">
        <v>13</v>
      </c>
      <c r="B9" s="1">
        <v>53.454999999999998</v>
      </c>
      <c r="C9" s="1">
        <v>53.454999999999998</v>
      </c>
      <c r="D9" s="1">
        <v>55.494999999999997</v>
      </c>
      <c r="E9" s="1">
        <v>23.51</v>
      </c>
      <c r="F9" s="1">
        <v>35.395000000000003</v>
      </c>
      <c r="G9" s="1">
        <v>42.164999999999999</v>
      </c>
      <c r="H9" s="1">
        <v>42.164999999999999</v>
      </c>
      <c r="I9" s="1">
        <v>54.85</v>
      </c>
      <c r="J9" s="1">
        <v>48.545000000000002</v>
      </c>
    </row>
    <row r="10" spans="1:10" x14ac:dyDescent="0.3">
      <c r="A10" s="1" t="s">
        <v>14</v>
      </c>
      <c r="B10" s="1">
        <v>33.32</v>
      </c>
      <c r="C10" s="1">
        <v>33.32</v>
      </c>
      <c r="D10" s="1">
        <v>33.32</v>
      </c>
      <c r="E10" s="1">
        <v>33.32</v>
      </c>
      <c r="F10" s="1">
        <v>53.225000000000001</v>
      </c>
      <c r="G10" s="1">
        <v>56.05</v>
      </c>
      <c r="H10" s="1">
        <v>56.05</v>
      </c>
      <c r="I10" s="1">
        <v>57.344999999999999</v>
      </c>
      <c r="J10" s="1">
        <v>49.784999999999997</v>
      </c>
    </row>
    <row r="11" spans="1:10" x14ac:dyDescent="0.3">
      <c r="A11" s="1" t="s">
        <v>15</v>
      </c>
      <c r="B11" s="1">
        <v>37.99</v>
      </c>
      <c r="C11" s="1">
        <v>37.99</v>
      </c>
      <c r="D11" s="1">
        <v>37.99</v>
      </c>
      <c r="E11" s="1">
        <v>37.99</v>
      </c>
      <c r="F11" s="1">
        <v>51.454999999999998</v>
      </c>
      <c r="G11" s="1">
        <v>57.14</v>
      </c>
      <c r="H11" s="1">
        <v>57.14</v>
      </c>
      <c r="I11" s="1">
        <v>57.53</v>
      </c>
      <c r="J11" s="1">
        <v>52.604999999999997</v>
      </c>
    </row>
    <row r="12" spans="1:10" x14ac:dyDescent="0.3">
      <c r="A12" s="1" t="s">
        <v>16</v>
      </c>
      <c r="B12" s="1">
        <v>48.024999999999999</v>
      </c>
      <c r="C12" s="1">
        <v>48.024999999999999</v>
      </c>
      <c r="D12" s="1">
        <v>49.215000000000003</v>
      </c>
      <c r="E12" s="1">
        <v>47.744999999999997</v>
      </c>
      <c r="F12" s="1">
        <v>58.685000000000002</v>
      </c>
      <c r="G12" s="1">
        <v>58.1</v>
      </c>
      <c r="H12" s="1">
        <v>58.1</v>
      </c>
      <c r="I12" s="1">
        <v>48.88</v>
      </c>
      <c r="J12" s="1">
        <v>54.86</v>
      </c>
    </row>
    <row r="13" spans="1:10" x14ac:dyDescent="0.3">
      <c r="A13" s="1" t="s">
        <v>17</v>
      </c>
      <c r="B13" s="1">
        <v>49.72</v>
      </c>
      <c r="C13" s="1">
        <v>49.72</v>
      </c>
      <c r="D13" s="1">
        <v>51.91</v>
      </c>
      <c r="E13" s="1">
        <v>50.744999999999997</v>
      </c>
      <c r="F13" s="1">
        <v>59.7</v>
      </c>
      <c r="G13" s="1">
        <v>58.414999999999999</v>
      </c>
      <c r="H13" s="1">
        <v>58.414999999999999</v>
      </c>
      <c r="I13" s="1">
        <v>48.645000000000003</v>
      </c>
      <c r="J13" s="1">
        <v>55.77</v>
      </c>
    </row>
    <row r="14" spans="1:10" x14ac:dyDescent="0.3">
      <c r="A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F874-8F33-43E1-894D-263665CCB481}">
  <dimension ref="A1:E24"/>
  <sheetViews>
    <sheetView tabSelected="1" topLeftCell="A11" workbookViewId="0">
      <selection activeCell="G17" sqref="G17"/>
    </sheetView>
  </sheetViews>
  <sheetFormatPr baseColWidth="10" defaultRowHeight="14.4" x14ac:dyDescent="0.3"/>
  <cols>
    <col min="2" max="2" width="18.77734375" customWidth="1"/>
    <col min="3" max="3" width="15.33203125" bestFit="1" customWidth="1"/>
  </cols>
  <sheetData>
    <row r="1" spans="1:5" x14ac:dyDescent="0.3">
      <c r="B1" s="1" t="s">
        <v>20</v>
      </c>
      <c r="C1" s="1" t="s">
        <v>21</v>
      </c>
    </row>
    <row r="2" spans="1:5" x14ac:dyDescent="0.3">
      <c r="B2" s="1" t="s">
        <v>22</v>
      </c>
      <c r="C2" s="1" t="s">
        <v>23</v>
      </c>
      <c r="D2" t="s">
        <v>19</v>
      </c>
      <c r="E2" t="s">
        <v>28</v>
      </c>
    </row>
    <row r="3" spans="1:5" x14ac:dyDescent="0.3">
      <c r="A3" t="s">
        <v>12</v>
      </c>
      <c r="B3" s="1">
        <v>0.65512300000000001</v>
      </c>
      <c r="C3" s="1">
        <v>0.657084</v>
      </c>
      <c r="D3">
        <f>C3-B3</f>
        <v>1.9609999999999905E-3</v>
      </c>
    </row>
    <row r="4" spans="1:5" x14ac:dyDescent="0.3">
      <c r="A4" t="s">
        <v>13</v>
      </c>
      <c r="B4" s="1">
        <v>0.818137</v>
      </c>
      <c r="C4" s="1">
        <v>0.818137</v>
      </c>
      <c r="D4">
        <f t="shared" ref="D4:D8" si="0">C4-B4</f>
        <v>0</v>
      </c>
    </row>
    <row r="5" spans="1:5" x14ac:dyDescent="0.3">
      <c r="A5" t="s">
        <v>14</v>
      </c>
      <c r="B5" s="1">
        <v>0.58226800000000001</v>
      </c>
      <c r="C5" s="1">
        <v>0.58226800000000001</v>
      </c>
      <c r="D5">
        <f t="shared" si="0"/>
        <v>0</v>
      </c>
    </row>
    <row r="6" spans="1:5" x14ac:dyDescent="0.3">
      <c r="A6" t="s">
        <v>15</v>
      </c>
      <c r="B6" s="1">
        <v>0.28518199999999999</v>
      </c>
      <c r="C6" s="1">
        <v>0.28518199999999999</v>
      </c>
      <c r="D6">
        <f t="shared" si="0"/>
        <v>0</v>
      </c>
    </row>
    <row r="7" spans="1:5" x14ac:dyDescent="0.3">
      <c r="A7" t="s">
        <v>16</v>
      </c>
      <c r="B7" s="1">
        <v>0.25043700000000002</v>
      </c>
      <c r="C7" s="1">
        <v>0.25193900000000002</v>
      </c>
      <c r="D7">
        <f t="shared" si="0"/>
        <v>1.5020000000000033E-3</v>
      </c>
    </row>
    <row r="8" spans="1:5" x14ac:dyDescent="0.3">
      <c r="A8" t="s">
        <v>17</v>
      </c>
      <c r="B8" s="1">
        <v>0.60754200000000003</v>
      </c>
      <c r="C8" s="1">
        <v>0.60805500000000001</v>
      </c>
      <c r="D8">
        <f t="shared" si="0"/>
        <v>5.1299999999998569E-4</v>
      </c>
    </row>
    <row r="10" spans="1:5" x14ac:dyDescent="0.3">
      <c r="B10" t="s">
        <v>24</v>
      </c>
      <c r="C10" t="s">
        <v>25</v>
      </c>
    </row>
    <row r="11" spans="1:5" x14ac:dyDescent="0.3">
      <c r="A11" t="s">
        <v>12</v>
      </c>
      <c r="B11" s="1">
        <v>0.65512300000000001</v>
      </c>
      <c r="C11">
        <v>0.657084</v>
      </c>
      <c r="D11">
        <f>C11-B11</f>
        <v>1.9609999999999905E-3</v>
      </c>
    </row>
    <row r="12" spans="1:5" x14ac:dyDescent="0.3">
      <c r="A12" t="s">
        <v>13</v>
      </c>
      <c r="B12" s="1">
        <v>0.818137</v>
      </c>
      <c r="C12">
        <v>0.81964300000000001</v>
      </c>
      <c r="D12">
        <f t="shared" ref="D12:D16" si="1">C12-B12</f>
        <v>1.5060000000000073E-3</v>
      </c>
    </row>
    <row r="13" spans="1:5" x14ac:dyDescent="0.3">
      <c r="A13" t="s">
        <v>14</v>
      </c>
      <c r="B13" s="1">
        <v>0.58226800000000001</v>
      </c>
      <c r="C13">
        <v>0.58252899999999996</v>
      </c>
      <c r="D13">
        <f t="shared" si="1"/>
        <v>2.6099999999995571E-4</v>
      </c>
    </row>
    <row r="14" spans="1:5" x14ac:dyDescent="0.3">
      <c r="A14" t="s">
        <v>15</v>
      </c>
      <c r="B14" s="1">
        <v>0.28518199999999999</v>
      </c>
      <c r="C14">
        <v>0.28981299999999999</v>
      </c>
      <c r="D14">
        <f t="shared" si="1"/>
        <v>4.6309999999999962E-3</v>
      </c>
    </row>
    <row r="15" spans="1:5" x14ac:dyDescent="0.3">
      <c r="A15" t="s">
        <v>16</v>
      </c>
      <c r="B15" s="1">
        <v>0.25043700000000002</v>
      </c>
      <c r="C15">
        <v>0.25193900000000002</v>
      </c>
      <c r="D15">
        <f t="shared" si="1"/>
        <v>1.5020000000000033E-3</v>
      </c>
    </row>
    <row r="16" spans="1:5" x14ac:dyDescent="0.3">
      <c r="A16" t="s">
        <v>17</v>
      </c>
      <c r="B16" s="1">
        <v>0.60754200000000003</v>
      </c>
      <c r="C16">
        <v>0.60805500000000001</v>
      </c>
      <c r="D16">
        <f t="shared" si="1"/>
        <v>5.1299999999998569E-4</v>
      </c>
    </row>
    <row r="18" spans="1:4" x14ac:dyDescent="0.3">
      <c r="B18" t="s">
        <v>27</v>
      </c>
      <c r="C18" t="s">
        <v>26</v>
      </c>
    </row>
    <row r="19" spans="1:4" x14ac:dyDescent="0.3">
      <c r="A19" t="s">
        <v>12</v>
      </c>
      <c r="B19" s="1">
        <v>0.65512300000000001</v>
      </c>
      <c r="C19">
        <v>0.93680200000000002</v>
      </c>
      <c r="D19">
        <f>C19-B19</f>
        <v>0.28167900000000001</v>
      </c>
    </row>
    <row r="20" spans="1:4" x14ac:dyDescent="0.3">
      <c r="A20" t="s">
        <v>13</v>
      </c>
      <c r="B20" s="1">
        <v>0.818137</v>
      </c>
      <c r="C20">
        <v>0.97501599999999999</v>
      </c>
      <c r="D20">
        <f t="shared" ref="D20:D24" si="2">C20-B20</f>
        <v>0.15687899999999999</v>
      </c>
    </row>
    <row r="21" spans="1:4" x14ac:dyDescent="0.3">
      <c r="A21" t="s">
        <v>14</v>
      </c>
      <c r="B21" s="1">
        <v>0.58226800000000001</v>
      </c>
      <c r="C21">
        <v>0.97239799999999998</v>
      </c>
      <c r="D21">
        <f t="shared" si="2"/>
        <v>0.39012999999999998</v>
      </c>
    </row>
    <row r="22" spans="1:4" x14ac:dyDescent="0.3">
      <c r="A22" t="s">
        <v>15</v>
      </c>
      <c r="B22" s="1">
        <v>0.28518199999999999</v>
      </c>
      <c r="C22">
        <v>0.94670699999999997</v>
      </c>
      <c r="D22">
        <f t="shared" si="2"/>
        <v>0.66152499999999992</v>
      </c>
    </row>
    <row r="23" spans="1:4" x14ac:dyDescent="0.3">
      <c r="A23" t="s">
        <v>16</v>
      </c>
      <c r="B23" s="1">
        <v>0.25043700000000002</v>
      </c>
      <c r="C23">
        <v>0.87858000000000003</v>
      </c>
      <c r="D23">
        <f t="shared" si="2"/>
        <v>0.62814300000000001</v>
      </c>
    </row>
    <row r="24" spans="1:4" x14ac:dyDescent="0.3">
      <c r="A24" t="s">
        <v>17</v>
      </c>
      <c r="B24" s="1">
        <v>0.60754200000000003</v>
      </c>
      <c r="C24">
        <v>0.94369400000000003</v>
      </c>
      <c r="D24">
        <f t="shared" si="2"/>
        <v>0.33615200000000001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A2D4-9AC6-4894-BED9-178505A8CF51}">
  <dimension ref="B3:I13"/>
  <sheetViews>
    <sheetView workbookViewId="0">
      <selection activeCell="K4" sqref="K4:K13"/>
    </sheetView>
  </sheetViews>
  <sheetFormatPr baseColWidth="10" defaultRowHeight="14.4" x14ac:dyDescent="0.3"/>
  <cols>
    <col min="3" max="3" width="21.5546875" bestFit="1" customWidth="1"/>
    <col min="4" max="4" width="14.88671875" customWidth="1"/>
    <col min="5" max="5" width="23.33203125" bestFit="1" customWidth="1"/>
    <col min="7" max="7" width="20.44140625" customWidth="1"/>
  </cols>
  <sheetData>
    <row r="3" spans="2:9" x14ac:dyDescent="0.3">
      <c r="C3" s="1" t="s">
        <v>31</v>
      </c>
      <c r="D3" s="1" t="s">
        <v>29</v>
      </c>
      <c r="E3" s="1" t="s">
        <v>32</v>
      </c>
      <c r="F3" s="1" t="s">
        <v>30</v>
      </c>
      <c r="G3" s="1" t="s">
        <v>34</v>
      </c>
      <c r="I3" s="1" t="s">
        <v>33</v>
      </c>
    </row>
    <row r="4" spans="2:9" x14ac:dyDescent="0.3">
      <c r="B4" t="s">
        <v>8</v>
      </c>
      <c r="C4" s="1">
        <v>1.62</v>
      </c>
      <c r="D4" s="1">
        <v>3.95</v>
      </c>
      <c r="E4" s="1">
        <v>-18.05</v>
      </c>
      <c r="F4">
        <v>-19.3</v>
      </c>
      <c r="G4">
        <v>-20.25</v>
      </c>
      <c r="I4">
        <v>-2.1800000000000002</v>
      </c>
    </row>
    <row r="5" spans="2:9" x14ac:dyDescent="0.3">
      <c r="B5" t="s">
        <v>9</v>
      </c>
      <c r="C5" s="1">
        <v>-13.83</v>
      </c>
      <c r="D5" s="1">
        <v>-6.76</v>
      </c>
      <c r="E5" s="1">
        <v>-63.29</v>
      </c>
      <c r="F5">
        <v>-66.599999999999994</v>
      </c>
      <c r="G5">
        <v>-69.12</v>
      </c>
      <c r="I5">
        <v>-25.41</v>
      </c>
    </row>
    <row r="6" spans="2:9" x14ac:dyDescent="0.3">
      <c r="B6" t="s">
        <v>10</v>
      </c>
      <c r="C6" s="1">
        <v>6.76</v>
      </c>
      <c r="D6" s="1">
        <v>9.2100000000000009</v>
      </c>
      <c r="E6" s="1">
        <v>-11.82</v>
      </c>
      <c r="F6">
        <v>-13.16</v>
      </c>
      <c r="G6">
        <v>-14.18</v>
      </c>
      <c r="I6">
        <v>2.77</v>
      </c>
    </row>
    <row r="7" spans="2:9" x14ac:dyDescent="0.3">
      <c r="B7" t="s">
        <v>11</v>
      </c>
      <c r="C7" s="1">
        <v>0</v>
      </c>
      <c r="D7" s="1">
        <v>0</v>
      </c>
      <c r="E7" s="1">
        <v>0</v>
      </c>
      <c r="F7">
        <v>0</v>
      </c>
      <c r="G7">
        <v>0</v>
      </c>
      <c r="I7">
        <v>0</v>
      </c>
    </row>
    <row r="8" spans="2:9" x14ac:dyDescent="0.3">
      <c r="B8" t="s">
        <v>12</v>
      </c>
      <c r="C8" s="1">
        <v>7.07</v>
      </c>
      <c r="D8" s="1">
        <v>8.42</v>
      </c>
      <c r="E8" s="1">
        <v>-65.81</v>
      </c>
      <c r="F8">
        <v>-74.78</v>
      </c>
      <c r="G8">
        <v>-34.08</v>
      </c>
      <c r="I8">
        <v>-14.01</v>
      </c>
    </row>
    <row r="9" spans="2:9" x14ac:dyDescent="0.3">
      <c r="B9" t="s">
        <v>13</v>
      </c>
      <c r="C9" s="1">
        <v>31.77</v>
      </c>
      <c r="D9" s="1">
        <v>16.22</v>
      </c>
      <c r="E9" s="1">
        <v>3.9</v>
      </c>
      <c r="F9">
        <v>-9.8800000000000008</v>
      </c>
      <c r="G9">
        <v>-49.54</v>
      </c>
      <c r="I9">
        <v>-30.56</v>
      </c>
    </row>
    <row r="10" spans="2:9" x14ac:dyDescent="0.3">
      <c r="B10" t="s">
        <v>14</v>
      </c>
      <c r="C10" s="1">
        <v>231.82</v>
      </c>
      <c r="D10" s="1">
        <v>248.53</v>
      </c>
      <c r="E10" s="1">
        <v>-66.25</v>
      </c>
      <c r="F10">
        <v>-66.25</v>
      </c>
      <c r="G10">
        <v>-49.9</v>
      </c>
      <c r="I10">
        <v>499.23</v>
      </c>
    </row>
    <row r="11" spans="2:9" x14ac:dyDescent="0.3">
      <c r="B11" t="s">
        <v>15</v>
      </c>
      <c r="C11" s="1">
        <v>-71.400000000000006</v>
      </c>
      <c r="D11" s="1">
        <v>-36.729999999999997</v>
      </c>
      <c r="E11" s="1">
        <v>-53.79</v>
      </c>
      <c r="F11">
        <v>-49.8</v>
      </c>
      <c r="G11">
        <v>-70.989999999999995</v>
      </c>
      <c r="I11">
        <v>-3.99</v>
      </c>
    </row>
    <row r="12" spans="2:9" x14ac:dyDescent="0.3">
      <c r="B12" t="s">
        <v>16</v>
      </c>
      <c r="C12" s="1">
        <v>-48.9</v>
      </c>
      <c r="D12" s="1">
        <v>-52.83</v>
      </c>
      <c r="E12" s="1">
        <v>-61.25</v>
      </c>
      <c r="F12">
        <v>-61.74</v>
      </c>
      <c r="G12">
        <v>-53.92</v>
      </c>
      <c r="I12">
        <v>-16.28</v>
      </c>
    </row>
    <row r="13" spans="2:9" x14ac:dyDescent="0.3">
      <c r="B13" t="s">
        <v>17</v>
      </c>
      <c r="C13" s="1">
        <v>80.42</v>
      </c>
      <c r="D13" s="1">
        <v>125.46</v>
      </c>
      <c r="E13" s="1">
        <v>-74.61</v>
      </c>
      <c r="F13">
        <v>-74.61</v>
      </c>
      <c r="G13">
        <v>-96.94</v>
      </c>
      <c r="I13">
        <v>-38.71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2025-08-04T16:27:21Z</dcterms:created>
  <dcterms:modified xsi:type="dcterms:W3CDTF">2025-08-12T08:04:56Z</dcterms:modified>
</cp:coreProperties>
</file>