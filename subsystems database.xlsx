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EUCASS_2025\"/>
    </mc:Choice>
  </mc:AlternateContent>
  <xr:revisionPtr revIDLastSave="0" documentId="13_ncr:1_{E63B9E34-114B-4DFB-8C8F-8C4BB93820D2}" xr6:coauthVersionLast="47" xr6:coauthVersionMax="47" xr10:uidLastSave="{00000000-0000-0000-0000-000000000000}"/>
  <bookViews>
    <workbookView xWindow="-108" yWindow="-108" windowWidth="23256" windowHeight="12456" xr2:uid="{DA27C19A-18DB-4E19-9AD3-8F88A97C8EE8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13" i="1"/>
  <c r="B12" i="1"/>
  <c r="B11" i="1"/>
  <c r="B10" i="1"/>
  <c r="B9" i="1"/>
  <c r="B8" i="1"/>
  <c r="B7" i="1"/>
  <c r="B5" i="1"/>
  <c r="B4" i="1"/>
  <c r="B3" i="1"/>
  <c r="B2" i="1"/>
  <c r="P2" i="1"/>
  <c r="P5" i="1"/>
  <c r="P4" i="1"/>
  <c r="P13" i="1"/>
</calcChain>
</file>

<file path=xl/sharedStrings.xml><?xml version="1.0" encoding="utf-8"?>
<sst xmlns="http://schemas.openxmlformats.org/spreadsheetml/2006/main" count="34" uniqueCount="29">
  <si>
    <t>md</t>
  </si>
  <si>
    <t>mp</t>
  </si>
  <si>
    <t>mprop</t>
  </si>
  <si>
    <t>dV</t>
  </si>
  <si>
    <t>Isp</t>
  </si>
  <si>
    <t>Structure</t>
  </si>
  <si>
    <t>Propulsion</t>
  </si>
  <si>
    <t>Power</t>
  </si>
  <si>
    <t>Avionics</t>
  </si>
  <si>
    <t>Thermal Protection</t>
  </si>
  <si>
    <t>Other</t>
  </si>
  <si>
    <t>growth</t>
  </si>
  <si>
    <t>Apollo J-series</t>
  </si>
  <si>
    <t>9508-HLR-1</t>
  </si>
  <si>
    <t>8801-EE-1 LOX-LH2</t>
  </si>
  <si>
    <t>8801-EE-1 N2O4/MMH</t>
  </si>
  <si>
    <t>0503-CE&amp;R-8</t>
  </si>
  <si>
    <t>0507-ESAS-D</t>
  </si>
  <si>
    <t>0507-ESAS-F</t>
  </si>
  <si>
    <t>0507-ESAS-H</t>
  </si>
  <si>
    <t>0507-ESAS-J</t>
  </si>
  <si>
    <t>Lander</t>
  </si>
  <si>
    <t>9205-FLO-1-CLS</t>
  </si>
  <si>
    <t>0609-LLPS-GRC</t>
  </si>
  <si>
    <t>ND</t>
  </si>
  <si>
    <t>0610-LAT-1</t>
  </si>
  <si>
    <t>kW</t>
  </si>
  <si>
    <t>kWh</t>
  </si>
  <si>
    <t>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</si>
</sst>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AA883-65ED-4288-9D11-90A18C3BBAF4}">
  <dimension ref="A1:P13"/>
  <sheetViews>
    <sheetView tabSelected="1" zoomScaleNormal="100" workbookViewId="0">
      <selection activeCell="F14" sqref="F14"/>
    </sheetView>
  </sheetViews>
  <sheetFormatPr baseColWidth="10" defaultRowHeight="14.4" x14ac:dyDescent="0.3"/>
  <cols>
    <col min="1" max="1" width="20" bestFit="1" customWidth="1"/>
    <col min="2" max="2" width="20" customWidth="1"/>
    <col min="3" max="3" width="7.33203125" customWidth="1"/>
    <col min="4" max="11" width="11.5546875" customWidth="1"/>
    <col min="12" max="12" width="17.88671875" customWidth="1"/>
    <col min="13" max="13" width="5.6640625" bestFit="1" customWidth="1"/>
    <col min="14" max="14" width="6.6640625" bestFit="1" customWidth="1"/>
  </cols>
  <sheetData>
    <row r="1" spans="1:16" ht="15" thickBot="1" x14ac:dyDescent="0.35">
      <c r="A1" s="2" t="s">
        <v>21</v>
      </c>
      <c r="B1" s="3" t="s">
        <v>28</v>
      </c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  <c r="H1" s="2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5" t="s">
        <v>11</v>
      </c>
      <c r="O1" s="1" t="s">
        <v>26</v>
      </c>
      <c r="P1" s="1" t="s">
        <v>27</v>
      </c>
    </row>
    <row r="2" spans="1:16" x14ac:dyDescent="0.3">
      <c r="A2" s="1" t="s">
        <v>12</v>
      </c>
      <c r="B2" s="1">
        <f>SUM(C2:E2)</f>
        <v>16448</v>
      </c>
      <c r="C2" s="1">
        <v>2373</v>
      </c>
      <c r="D2" s="1">
        <v>5295</v>
      </c>
      <c r="E2" s="1">
        <v>8780</v>
      </c>
      <c r="F2" s="1">
        <v>2265</v>
      </c>
      <c r="G2" s="1">
        <v>311</v>
      </c>
      <c r="H2" s="4">
        <v>460</v>
      </c>
      <c r="I2" s="1">
        <v>495</v>
      </c>
      <c r="J2" s="1">
        <v>366</v>
      </c>
      <c r="K2" s="1">
        <v>29</v>
      </c>
      <c r="L2" s="1">
        <v>404</v>
      </c>
      <c r="M2" s="1">
        <v>273</v>
      </c>
      <c r="N2" s="1" t="s">
        <v>24</v>
      </c>
      <c r="O2" s="1">
        <v>0.112</v>
      </c>
      <c r="P2">
        <f>O2*75</f>
        <v>8.4</v>
      </c>
    </row>
    <row r="3" spans="1:16" x14ac:dyDescent="0.3">
      <c r="A3" s="1" t="s">
        <v>13</v>
      </c>
      <c r="B3" s="1">
        <f t="shared" ref="B3:B13" si="0">SUM(C3:E3)</f>
        <v>5038.6000000000004</v>
      </c>
      <c r="C3" s="1">
        <v>1673.7</v>
      </c>
      <c r="D3" s="1">
        <v>473.3</v>
      </c>
      <c r="E3" s="1">
        <v>2891.6000000000004</v>
      </c>
      <c r="F3" s="1">
        <v>1822</v>
      </c>
      <c r="G3" s="1">
        <v>333</v>
      </c>
      <c r="H3" s="4">
        <v>532.9</v>
      </c>
      <c r="I3" s="1">
        <v>252.5</v>
      </c>
      <c r="J3" s="1">
        <v>125.7</v>
      </c>
      <c r="K3" s="1">
        <v>120.1</v>
      </c>
      <c r="L3" s="1">
        <v>113.5</v>
      </c>
      <c r="M3" s="1">
        <v>56</v>
      </c>
      <c r="N3" s="1" t="s">
        <v>24</v>
      </c>
    </row>
    <row r="4" spans="1:16" x14ac:dyDescent="0.3">
      <c r="A4" s="1" t="s">
        <v>14</v>
      </c>
      <c r="B4" s="1">
        <f t="shared" si="0"/>
        <v>60075</v>
      </c>
      <c r="C4" s="1">
        <v>9823</v>
      </c>
      <c r="D4" s="1">
        <v>25000</v>
      </c>
      <c r="E4" s="1">
        <v>25252</v>
      </c>
      <c r="F4" s="1">
        <v>2100</v>
      </c>
      <c r="G4" s="1">
        <v>450</v>
      </c>
      <c r="H4" s="4">
        <v>1681</v>
      </c>
      <c r="I4" s="1">
        <v>4258</v>
      </c>
      <c r="J4" s="1">
        <v>478</v>
      </c>
      <c r="K4" s="1">
        <v>934</v>
      </c>
      <c r="L4" s="1">
        <v>2017</v>
      </c>
      <c r="M4" s="1">
        <v>455</v>
      </c>
      <c r="N4" s="1" t="s">
        <v>24</v>
      </c>
      <c r="O4" s="1">
        <v>2</v>
      </c>
      <c r="P4">
        <f>O4*3*24</f>
        <v>144</v>
      </c>
    </row>
    <row r="5" spans="1:16" x14ac:dyDescent="0.3">
      <c r="A5" s="1" t="s">
        <v>15</v>
      </c>
      <c r="B5" s="1">
        <f t="shared" si="0"/>
        <v>69298</v>
      </c>
      <c r="C5" s="1">
        <v>7899</v>
      </c>
      <c r="D5" s="1">
        <v>25000</v>
      </c>
      <c r="E5" s="1">
        <v>36399</v>
      </c>
      <c r="F5" s="1">
        <v>2100</v>
      </c>
      <c r="G5" s="1">
        <v>333</v>
      </c>
      <c r="H5" s="4">
        <v>1955</v>
      </c>
      <c r="I5" s="1">
        <v>2943</v>
      </c>
      <c r="J5" s="1">
        <v>478</v>
      </c>
      <c r="K5" s="1">
        <v>1062</v>
      </c>
      <c r="L5" s="1">
        <v>1006</v>
      </c>
      <c r="M5" s="1">
        <v>455</v>
      </c>
      <c r="N5" s="1" t="s">
        <v>24</v>
      </c>
      <c r="O5" s="1">
        <v>2</v>
      </c>
      <c r="P5">
        <f>O5*3*24</f>
        <v>144</v>
      </c>
    </row>
    <row r="6" spans="1:16" x14ac:dyDescent="0.3">
      <c r="A6" s="1" t="s">
        <v>22</v>
      </c>
      <c r="B6" s="1">
        <f>SUM(C6:E6)</f>
        <v>89365</v>
      </c>
      <c r="C6" s="1">
        <v>9320</v>
      </c>
      <c r="D6" s="1">
        <v>35894</v>
      </c>
      <c r="E6" s="1">
        <v>44151</v>
      </c>
      <c r="F6" s="1">
        <v>3100</v>
      </c>
      <c r="G6" s="1">
        <v>450</v>
      </c>
      <c r="H6" s="4">
        <v>1770</v>
      </c>
      <c r="I6" s="1">
        <v>4969</v>
      </c>
      <c r="J6" s="1">
        <v>385</v>
      </c>
      <c r="K6" s="1">
        <v>307</v>
      </c>
      <c r="L6" s="1">
        <v>420</v>
      </c>
      <c r="M6" s="1">
        <v>1469</v>
      </c>
      <c r="N6" s="1">
        <v>1878</v>
      </c>
    </row>
    <row r="7" spans="1:16" x14ac:dyDescent="0.3">
      <c r="A7" s="1" t="s">
        <v>16</v>
      </c>
      <c r="B7" s="1">
        <f t="shared" si="0"/>
        <v>44821</v>
      </c>
      <c r="C7" s="1">
        <v>5858</v>
      </c>
      <c r="D7" s="1">
        <v>16461</v>
      </c>
      <c r="E7" s="1">
        <v>22502</v>
      </c>
      <c r="F7" s="1">
        <v>2260</v>
      </c>
      <c r="G7" s="1">
        <v>379</v>
      </c>
      <c r="H7" s="4">
        <v>2822</v>
      </c>
      <c r="I7" s="1">
        <v>1749</v>
      </c>
      <c r="J7" s="1">
        <v>204</v>
      </c>
      <c r="K7" s="1">
        <v>818</v>
      </c>
      <c r="L7" s="1">
        <v>265</v>
      </c>
      <c r="M7" s="1">
        <v>1</v>
      </c>
      <c r="N7" s="1" t="s">
        <v>24</v>
      </c>
    </row>
    <row r="8" spans="1:16" x14ac:dyDescent="0.3">
      <c r="A8" s="1" t="s">
        <v>17</v>
      </c>
      <c r="B8" s="1">
        <f t="shared" si="0"/>
        <v>61503</v>
      </c>
      <c r="C8" s="1">
        <v>7542</v>
      </c>
      <c r="D8" s="1">
        <v>28475</v>
      </c>
      <c r="E8" s="1">
        <v>25486</v>
      </c>
      <c r="F8" s="1">
        <v>1900</v>
      </c>
      <c r="G8" s="1">
        <v>362</v>
      </c>
      <c r="H8" s="4">
        <v>2015</v>
      </c>
      <c r="I8" s="1">
        <v>2425</v>
      </c>
      <c r="J8" s="1">
        <v>553</v>
      </c>
      <c r="K8" s="1">
        <v>594</v>
      </c>
      <c r="L8" s="1">
        <v>1072</v>
      </c>
      <c r="M8" s="1">
        <v>883</v>
      </c>
      <c r="N8" s="1">
        <v>1508</v>
      </c>
      <c r="O8" s="1">
        <v>2</v>
      </c>
    </row>
    <row r="9" spans="1:16" x14ac:dyDescent="0.3">
      <c r="A9" s="1" t="s">
        <v>18</v>
      </c>
      <c r="B9" s="1">
        <f t="shared" si="0"/>
        <v>57620</v>
      </c>
      <c r="C9" s="1">
        <v>7412</v>
      </c>
      <c r="D9" s="1">
        <v>26375</v>
      </c>
      <c r="E9" s="1">
        <v>23833</v>
      </c>
      <c r="F9" s="1">
        <v>1900</v>
      </c>
      <c r="G9" s="1">
        <v>351</v>
      </c>
      <c r="H9" s="4">
        <v>1985</v>
      </c>
      <c r="I9" s="1">
        <v>2347</v>
      </c>
      <c r="J9" s="1">
        <v>553</v>
      </c>
      <c r="K9" s="1">
        <v>594</v>
      </c>
      <c r="L9" s="1">
        <v>1066</v>
      </c>
      <c r="M9" s="1">
        <v>867</v>
      </c>
      <c r="N9" s="1">
        <v>1483</v>
      </c>
      <c r="O9" s="1">
        <v>2</v>
      </c>
    </row>
    <row r="10" spans="1:16" x14ac:dyDescent="0.3">
      <c r="A10" s="1" t="s">
        <v>19</v>
      </c>
      <c r="B10" s="1">
        <f t="shared" si="0"/>
        <v>47150</v>
      </c>
      <c r="C10" s="1">
        <v>5970</v>
      </c>
      <c r="D10" s="1">
        <v>22028</v>
      </c>
      <c r="E10" s="1">
        <v>19152</v>
      </c>
      <c r="F10" s="1">
        <v>1900</v>
      </c>
      <c r="G10" s="1">
        <v>363</v>
      </c>
      <c r="H10" s="4">
        <v>1877</v>
      </c>
      <c r="I10" s="1">
        <v>1125</v>
      </c>
      <c r="J10" s="1">
        <v>553</v>
      </c>
      <c r="K10" s="1">
        <v>594</v>
      </c>
      <c r="L10" s="1">
        <v>1049</v>
      </c>
      <c r="M10" s="1">
        <v>772</v>
      </c>
      <c r="N10" s="1">
        <v>1194</v>
      </c>
    </row>
    <row r="11" spans="1:16" x14ac:dyDescent="0.3">
      <c r="A11" s="1" t="s">
        <v>20</v>
      </c>
      <c r="B11" s="1">
        <f t="shared" si="0"/>
        <v>45180</v>
      </c>
      <c r="C11" s="1">
        <v>5912</v>
      </c>
      <c r="D11" s="1">
        <v>20956</v>
      </c>
      <c r="E11" s="1">
        <v>18312</v>
      </c>
      <c r="F11" s="1">
        <v>1900</v>
      </c>
      <c r="G11" s="1">
        <v>363</v>
      </c>
      <c r="H11" s="4">
        <v>1860</v>
      </c>
      <c r="I11" s="1">
        <v>1095</v>
      </c>
      <c r="J11" s="1">
        <v>553</v>
      </c>
      <c r="K11" s="1">
        <v>594</v>
      </c>
      <c r="L11" s="1">
        <v>1046</v>
      </c>
      <c r="M11" s="1">
        <v>764</v>
      </c>
      <c r="N11" s="1">
        <v>1182</v>
      </c>
      <c r="O11" s="1">
        <v>4.5</v>
      </c>
    </row>
    <row r="12" spans="1:16" x14ac:dyDescent="0.3">
      <c r="A12" s="1" t="s">
        <v>23</v>
      </c>
      <c r="B12" s="1">
        <f t="shared" si="0"/>
        <v>11180</v>
      </c>
      <c r="C12" s="1">
        <v>6503</v>
      </c>
      <c r="D12" s="1">
        <v>229</v>
      </c>
      <c r="E12" s="1">
        <v>4448</v>
      </c>
      <c r="F12" s="6">
        <v>2124</v>
      </c>
      <c r="G12" s="1">
        <v>450</v>
      </c>
      <c r="H12" s="1">
        <v>1186.3399999999999</v>
      </c>
      <c r="I12" s="1">
        <v>918.21</v>
      </c>
      <c r="J12" s="1">
        <v>663</v>
      </c>
      <c r="K12" s="1">
        <v>258.7</v>
      </c>
      <c r="L12" s="1">
        <v>459.04</v>
      </c>
      <c r="M12" s="1">
        <v>1</v>
      </c>
      <c r="N12" s="1">
        <v>472</v>
      </c>
      <c r="O12" s="1">
        <v>5</v>
      </c>
    </row>
    <row r="13" spans="1:16" x14ac:dyDescent="0.3">
      <c r="A13" s="1" t="s">
        <v>25</v>
      </c>
      <c r="B13" s="1">
        <f t="shared" si="0"/>
        <v>83417</v>
      </c>
      <c r="C13" s="1">
        <v>10747</v>
      </c>
      <c r="D13" s="1">
        <v>22074</v>
      </c>
      <c r="E13" s="1">
        <v>50596</v>
      </c>
      <c r="F13" s="6">
        <v>2124</v>
      </c>
      <c r="G13" s="1">
        <v>450</v>
      </c>
      <c r="H13" s="1">
        <v>453</v>
      </c>
      <c r="I13" s="1">
        <v>2969</v>
      </c>
      <c r="J13" s="1">
        <v>288</v>
      </c>
      <c r="K13" s="1">
        <v>519</v>
      </c>
      <c r="L13" s="1">
        <v>56</v>
      </c>
      <c r="M13" s="1">
        <v>527</v>
      </c>
      <c r="N13" s="1" t="s">
        <v>24</v>
      </c>
      <c r="O13" s="1">
        <v>3</v>
      </c>
      <c r="P13">
        <f>O13*8.3</f>
        <v>24.900000000000002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2025-05-29T22:23:43Z</dcterms:created>
  <dcterms:modified xsi:type="dcterms:W3CDTF">2025-07-16T09:24:56Z</dcterms:modified>
</cp:coreProperties>
</file>