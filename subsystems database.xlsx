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depaor2\Desktop\EUCASS_2025\"/>
    </mc:Choice>
  </mc:AlternateContent>
  <xr:revisionPtr revIDLastSave="0" documentId="13_ncr:1_{E56CA8AB-DF65-450D-9509-41683BE5858F}" xr6:coauthVersionLast="47" xr6:coauthVersionMax="47" xr10:uidLastSave="{00000000-0000-0000-0000-000000000000}"/>
  <bookViews>
    <workbookView xWindow="-108" yWindow="-108" windowWidth="23256" windowHeight="12456" xr2:uid="{DA27C19A-18DB-4E19-9AD3-8F88A97C8EE8}"/>
  </bookViews>
  <sheets>
    <sheet name="Feuil1" sheetId="1" r:id="rId1"/>
  </sheets>
  <definedNames>
    <definedName name="_xlchart.v1.0" hidden="1">Feuil1!$W$2:$W$32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3" i="1" l="1"/>
  <c r="C43" i="1"/>
  <c r="M42" i="1"/>
  <c r="C42" i="1"/>
  <c r="B42" i="1"/>
  <c r="M41" i="1"/>
  <c r="E41" i="1"/>
  <c r="C41" i="1"/>
  <c r="B41" i="1"/>
  <c r="F41" i="1" s="1"/>
  <c r="G41" i="1" s="1"/>
  <c r="M40" i="1"/>
  <c r="F42" i="1"/>
  <c r="G42" i="1" s="1"/>
  <c r="F43" i="1"/>
  <c r="G43" i="1" s="1"/>
  <c r="D40" i="1"/>
  <c r="C40" i="1"/>
  <c r="B40" i="1"/>
  <c r="F40" i="1" s="1"/>
  <c r="G40" i="1" s="1"/>
  <c r="M39" i="1"/>
  <c r="E39" i="1"/>
  <c r="D39" i="1"/>
  <c r="C39" i="1"/>
  <c r="B39" i="1"/>
  <c r="F39" i="1" s="1"/>
  <c r="G39" i="1" s="1"/>
  <c r="N38" i="1"/>
  <c r="M38" i="1"/>
  <c r="I38" i="1"/>
  <c r="E38" i="1"/>
  <c r="D38" i="1"/>
  <c r="C38" i="1"/>
  <c r="B38" i="1"/>
  <c r="M37" i="1"/>
  <c r="E37" i="1"/>
  <c r="D37" i="1"/>
  <c r="C37" i="1"/>
  <c r="B37" i="1"/>
  <c r="N36" i="1"/>
  <c r="M36" i="1"/>
  <c r="E36" i="1"/>
  <c r="D36" i="1"/>
  <c r="C36" i="1"/>
  <c r="B36" i="1"/>
  <c r="M35" i="1"/>
  <c r="C35" i="1"/>
  <c r="B35" i="1"/>
  <c r="O34" i="1"/>
  <c r="N34" i="1"/>
  <c r="M34" i="1"/>
  <c r="C34" i="1"/>
  <c r="D34" i="1"/>
  <c r="B34" i="1"/>
  <c r="F34" i="1" s="1"/>
  <c r="G34" i="1" s="1"/>
  <c r="M33" i="1"/>
  <c r="D33" i="1"/>
  <c r="C33" i="1"/>
  <c r="B33" i="1"/>
  <c r="F33" i="1" s="1"/>
  <c r="G33" i="1" s="1"/>
  <c r="M32" i="1"/>
  <c r="E32" i="1"/>
  <c r="D32" i="1"/>
  <c r="B32" i="1"/>
  <c r="N31" i="1"/>
  <c r="M31" i="1"/>
  <c r="C31" i="1"/>
  <c r="O30" i="1"/>
  <c r="N30" i="1"/>
  <c r="M30" i="1"/>
  <c r="F31" i="1"/>
  <c r="G31" i="1" s="1"/>
  <c r="F35" i="1"/>
  <c r="G35" i="1" s="1"/>
  <c r="E30" i="1"/>
  <c r="D30" i="1"/>
  <c r="C30" i="1"/>
  <c r="B30" i="1"/>
  <c r="N29" i="1"/>
  <c r="M29" i="1"/>
  <c r="C29" i="1"/>
  <c r="B29" i="1"/>
  <c r="F29" i="1" s="1"/>
  <c r="M28" i="1"/>
  <c r="C28" i="1"/>
  <c r="B28" i="1"/>
  <c r="M27" i="1"/>
  <c r="B27" i="1"/>
  <c r="F27" i="1" s="1"/>
  <c r="G27" i="1" s="1"/>
  <c r="M26" i="1"/>
  <c r="C26" i="1"/>
  <c r="B26" i="1"/>
  <c r="M25" i="1"/>
  <c r="F25" i="1"/>
  <c r="D25" i="1"/>
  <c r="B25" i="1"/>
  <c r="M24" i="1"/>
  <c r="E24" i="1"/>
  <c r="D24" i="1"/>
  <c r="C24" i="1"/>
  <c r="B24" i="1"/>
  <c r="O23" i="1"/>
  <c r="N23" i="1"/>
  <c r="M23" i="1"/>
  <c r="F23" i="1"/>
  <c r="G23" i="1" s="1"/>
  <c r="C23" i="1"/>
  <c r="D23" i="1"/>
  <c r="B23" i="1"/>
  <c r="C22" i="1"/>
  <c r="O22" i="1"/>
  <c r="N22" i="1"/>
  <c r="M22" i="1"/>
  <c r="D22" i="1"/>
  <c r="B22" i="1"/>
  <c r="F22" i="1" s="1"/>
  <c r="G22" i="1" s="1"/>
  <c r="M21" i="1"/>
  <c r="F21" i="1"/>
  <c r="G21" i="1" s="1"/>
  <c r="C21" i="1"/>
  <c r="M20" i="1"/>
  <c r="F20" i="1"/>
  <c r="G20" i="1" s="1"/>
  <c r="M19" i="1"/>
  <c r="F19" i="1"/>
  <c r="G19" i="1" s="1"/>
  <c r="B17" i="1"/>
  <c r="F17" i="1" s="1"/>
  <c r="G17" i="1" s="1"/>
  <c r="F16" i="1"/>
  <c r="G16" i="1" s="1"/>
  <c r="B18" i="1"/>
  <c r="C18" i="1"/>
  <c r="D18" i="1"/>
  <c r="M18" i="1"/>
  <c r="M17" i="1"/>
  <c r="C17" i="1"/>
  <c r="D17" i="1"/>
  <c r="M16" i="1"/>
  <c r="C16" i="1"/>
  <c r="C13" i="1"/>
  <c r="D13" i="1"/>
  <c r="B13" i="1"/>
  <c r="B14" i="1"/>
  <c r="F14" i="1" s="1"/>
  <c r="B15" i="1"/>
  <c r="D14" i="1"/>
  <c r="G25" i="1" l="1"/>
  <c r="F32" i="1"/>
  <c r="G32" i="1" s="1"/>
  <c r="G30" i="1"/>
  <c r="G15" i="1"/>
  <c r="F28" i="1"/>
  <c r="G28" i="1" s="1"/>
  <c r="F36" i="1"/>
  <c r="G36" i="1" s="1"/>
  <c r="F26" i="1"/>
  <c r="G26" i="1" s="1"/>
  <c r="G29" i="1"/>
  <c r="F18" i="1"/>
  <c r="G18" i="1" s="1"/>
  <c r="F38" i="1"/>
  <c r="G38" i="1" s="1"/>
  <c r="F15" i="1"/>
  <c r="F24" i="1"/>
  <c r="G24" i="1" s="1"/>
  <c r="F13" i="1"/>
  <c r="G13" i="1" s="1"/>
  <c r="F30" i="1"/>
  <c r="F37" i="1"/>
  <c r="G37" i="1" s="1"/>
  <c r="B6" i="1" l="1"/>
  <c r="F6" i="1" s="1"/>
  <c r="B12" i="1"/>
  <c r="B11" i="1"/>
  <c r="F11" i="1" s="1"/>
  <c r="B10" i="1"/>
  <c r="F10" i="1" s="1"/>
  <c r="B9" i="1"/>
  <c r="F9" i="1" s="1"/>
  <c r="B8" i="1"/>
  <c r="F8" i="1" s="1"/>
  <c r="B7" i="1"/>
  <c r="F7" i="1" s="1"/>
  <c r="B5" i="1"/>
  <c r="F5" i="1" s="1"/>
  <c r="B4" i="1"/>
  <c r="F4" i="1" s="1"/>
  <c r="B3" i="1"/>
  <c r="F3" i="1" s="1"/>
  <c r="B2" i="1"/>
  <c r="Q2" i="1"/>
  <c r="Q5" i="1"/>
  <c r="Q4" i="1"/>
  <c r="Q13" i="1"/>
  <c r="F12" i="1" l="1"/>
  <c r="G12" i="1" s="1"/>
  <c r="W2" i="1" a="1"/>
  <c r="W2" i="1" s="1"/>
  <c r="F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<sst xmlns="http://schemas.openxmlformats.org/spreadsheetml/2006/main" count="79" uniqueCount="66">
  <si>
    <t>md</t>
  </si>
  <si>
    <t>mp</t>
  </si>
  <si>
    <t>mprop</t>
  </si>
  <si>
    <t>dV</t>
  </si>
  <si>
    <t>Isp</t>
  </si>
  <si>
    <t>Structure</t>
  </si>
  <si>
    <t>Propulsion</t>
  </si>
  <si>
    <t>Power</t>
  </si>
  <si>
    <t>Avionics</t>
  </si>
  <si>
    <t>Thermal Protection</t>
  </si>
  <si>
    <t>Other</t>
  </si>
  <si>
    <t>growth</t>
  </si>
  <si>
    <t>Apollo J-series</t>
  </si>
  <si>
    <t>9508-HLR-1</t>
  </si>
  <si>
    <t>8801-EE-1 LOX-LH2</t>
  </si>
  <si>
    <t>8801-EE-1 N2O4/MMH</t>
  </si>
  <si>
    <t>0503-CE&amp;R-8</t>
  </si>
  <si>
    <t>0507-ESAS-D</t>
  </si>
  <si>
    <t>0507-ESAS-F</t>
  </si>
  <si>
    <t>0507-ESAS-H</t>
  </si>
  <si>
    <t>0507-ESAS-J</t>
  </si>
  <si>
    <t>Lander</t>
  </si>
  <si>
    <t>9205-FLO-1-CLS</t>
  </si>
  <si>
    <t>0609-LLPS-GRC</t>
  </si>
  <si>
    <t>ND</t>
  </si>
  <si>
    <t>0610-LAT-1</t>
  </si>
  <si>
    <t>kW</t>
  </si>
  <si>
    <t>kWh</t>
  </si>
  <si>
    <t>mt</t>
  </si>
  <si>
    <t>notes</t>
  </si>
  <si>
    <t>0503-CE&amp;R-3</t>
  </si>
  <si>
    <t>heat rejection</t>
  </si>
  <si>
    <t>0503-CE&amp;R-6</t>
  </si>
  <si>
    <t>0507-ESAS-A</t>
  </si>
  <si>
    <t>0507-ESAS-B</t>
  </si>
  <si>
    <t>minert</t>
  </si>
  <si>
    <t>descent stage also performs LOI</t>
  </si>
  <si>
    <t>reusable</t>
  </si>
  <si>
    <t>0507-ESAS-C</t>
  </si>
  <si>
    <t>0507-ESAS-E</t>
  </si>
  <si>
    <t>0507-ESAS-G</t>
  </si>
  <si>
    <t>0605-LLPS-LaRC-1A</t>
  </si>
  <si>
    <t>0605-LLPS-LaRC-1B</t>
  </si>
  <si>
    <t>0605-LLPS-LaRC-1C</t>
  </si>
  <si>
    <t>0605-LLPS-LaRC-1D</t>
  </si>
  <si>
    <t>0605-LLPS-LaRC-1E</t>
  </si>
  <si>
    <t>0605-LLPS-LaRC-1F</t>
  </si>
  <si>
    <t>descent stage also performs LOI, probable Isp for the LOX methan</t>
  </si>
  <si>
    <t>0605-LLPS-LaRC-1G</t>
  </si>
  <si>
    <t>0605-LLPS-LaRC-1H</t>
  </si>
  <si>
    <t>lander performs LOI</t>
  </si>
  <si>
    <t>0605-LLPS-LaRC-2</t>
  </si>
  <si>
    <t>0605-LLPS-LaRC-3</t>
  </si>
  <si>
    <t>0605-LLPS-GFSC-1</t>
  </si>
  <si>
    <t>0605-LLPS-GSFC-3</t>
  </si>
  <si>
    <t>0605-LLPS-1GSFC-4</t>
  </si>
  <si>
    <t>skycrane</t>
  </si>
  <si>
    <t>0605-LLPS-JSC-6</t>
  </si>
  <si>
    <t>0605-LLPS-MSFC-1</t>
  </si>
  <si>
    <t>0605-LLPS-MSFC-2</t>
  </si>
  <si>
    <t>0605-LLPS-MSFC-3</t>
  </si>
  <si>
    <t>0605-LLPS-MSFC-4</t>
  </si>
  <si>
    <t>0605-LLPS-MSFC-6</t>
  </si>
  <si>
    <t>0609-LLPS-GSFC</t>
  </si>
  <si>
    <t>0609-LLPS-JSC-sortie</t>
  </si>
  <si>
    <t>0609-LLPS-GRC-phase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</si>
</sst>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5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Fill="1" applyBorder="1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0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5" xfId="0" applyNumberForma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AA883-65ED-4288-9D11-90A18C3BBAF4}">
  <dimension ref="A1:W47"/>
  <sheetViews>
    <sheetView tabSelected="1" zoomScale="71" zoomScaleNormal="100" workbookViewId="0">
      <pane ySplit="1" topLeftCell="A9" activePane="bottomLeft" state="frozen"/>
      <selection pane="bottomLeft" activeCell="G34" sqref="G34"/>
    </sheetView>
  </sheetViews>
  <sheetFormatPr baseColWidth="10" defaultRowHeight="14.4" x14ac:dyDescent="0.3"/>
  <cols>
    <col min="1" max="1" width="21" bestFit="1" customWidth="1"/>
    <col min="2" max="2" width="20" customWidth="1"/>
    <col min="3" max="3" width="7.33203125" customWidth="1"/>
    <col min="4" max="12" width="11.5546875" customWidth="1"/>
    <col min="13" max="13" width="17.88671875" customWidth="1"/>
    <col min="14" max="14" width="5.6640625" bestFit="1" customWidth="1"/>
    <col min="15" max="15" width="6.6640625" bestFit="1" customWidth="1"/>
  </cols>
  <sheetData>
    <row r="1" spans="1:23" ht="15" thickBot="1" x14ac:dyDescent="0.35">
      <c r="A1" s="2" t="s">
        <v>21</v>
      </c>
      <c r="B1" s="3" t="s">
        <v>28</v>
      </c>
      <c r="C1" s="3" t="s">
        <v>0</v>
      </c>
      <c r="D1" s="3" t="s">
        <v>1</v>
      </c>
      <c r="E1" s="3" t="s">
        <v>2</v>
      </c>
      <c r="F1" s="3" t="s">
        <v>35</v>
      </c>
      <c r="G1" s="3" t="s">
        <v>3</v>
      </c>
      <c r="H1" s="3" t="s">
        <v>4</v>
      </c>
      <c r="I1" s="2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5" t="s">
        <v>11</v>
      </c>
      <c r="P1" s="1" t="s">
        <v>26</v>
      </c>
      <c r="Q1" s="1" t="s">
        <v>27</v>
      </c>
      <c r="R1" s="7" t="s">
        <v>31</v>
      </c>
      <c r="S1" s="7" t="s">
        <v>29</v>
      </c>
    </row>
    <row r="2" spans="1:23" x14ac:dyDescent="0.3">
      <c r="A2" s="1" t="s">
        <v>12</v>
      </c>
      <c r="B2" s="1">
        <f>SUM(C2:E2)</f>
        <v>16448</v>
      </c>
      <c r="C2" s="1">
        <v>2373</v>
      </c>
      <c r="D2" s="1">
        <v>5295</v>
      </c>
      <c r="E2" s="1">
        <v>8780</v>
      </c>
      <c r="F2" s="6">
        <f>B2-E2</f>
        <v>7668</v>
      </c>
      <c r="G2" s="14">
        <v>2265</v>
      </c>
      <c r="H2" s="1">
        <v>311</v>
      </c>
      <c r="I2" s="4">
        <v>460</v>
      </c>
      <c r="J2" s="1">
        <v>495</v>
      </c>
      <c r="K2" s="1">
        <v>366</v>
      </c>
      <c r="L2" s="1">
        <v>29</v>
      </c>
      <c r="M2" s="1">
        <v>404</v>
      </c>
      <c r="N2" s="1">
        <v>273</v>
      </c>
      <c r="O2" s="1" t="s">
        <v>24</v>
      </c>
      <c r="P2" s="1">
        <v>0.112</v>
      </c>
      <c r="Q2" s="1">
        <f>P2*75</f>
        <v>8.4</v>
      </c>
      <c r="R2" s="1"/>
      <c r="S2" s="1"/>
      <c r="W2" cm="1">
        <f t="array" ref="W2:W32">SQRT(B2:B32)</f>
        <v>128.24975633505119</v>
      </c>
    </row>
    <row r="3" spans="1:23" x14ac:dyDescent="0.3">
      <c r="A3" s="1" t="s">
        <v>13</v>
      </c>
      <c r="B3" s="1">
        <f t="shared" ref="B3:B12" si="0">SUM(C3:E3)</f>
        <v>5038.6000000000004</v>
      </c>
      <c r="C3" s="1">
        <v>1673.7</v>
      </c>
      <c r="D3" s="1">
        <v>473.3</v>
      </c>
      <c r="E3" s="1">
        <v>2891.6000000000004</v>
      </c>
      <c r="F3" s="6">
        <f t="shared" ref="F3:F39" si="1">B3-E3</f>
        <v>2147</v>
      </c>
      <c r="G3" s="14">
        <v>1822</v>
      </c>
      <c r="H3" s="1">
        <v>333</v>
      </c>
      <c r="I3" s="4">
        <v>532.9</v>
      </c>
      <c r="J3" s="1">
        <v>252.5</v>
      </c>
      <c r="K3" s="1">
        <v>125.7</v>
      </c>
      <c r="L3" s="1">
        <v>120.1</v>
      </c>
      <c r="M3" s="1">
        <v>113.5</v>
      </c>
      <c r="N3" s="1">
        <v>56</v>
      </c>
      <c r="O3" s="1" t="s">
        <v>24</v>
      </c>
      <c r="P3" s="1"/>
      <c r="Q3" s="1"/>
      <c r="R3" s="1"/>
      <c r="S3" s="1"/>
      <c r="W3">
        <v>70.983096579396985</v>
      </c>
    </row>
    <row r="4" spans="1:23" x14ac:dyDescent="0.3">
      <c r="A4" s="1" t="s">
        <v>14</v>
      </c>
      <c r="B4" s="1">
        <f t="shared" si="0"/>
        <v>60075</v>
      </c>
      <c r="C4" s="1">
        <v>9823</v>
      </c>
      <c r="D4" s="1">
        <v>25000</v>
      </c>
      <c r="E4" s="1">
        <v>25252</v>
      </c>
      <c r="F4" s="6">
        <f t="shared" si="1"/>
        <v>34823</v>
      </c>
      <c r="G4" s="14">
        <v>2100</v>
      </c>
      <c r="H4" s="1">
        <v>450</v>
      </c>
      <c r="I4" s="4">
        <v>1681</v>
      </c>
      <c r="J4" s="1">
        <v>4258</v>
      </c>
      <c r="K4" s="1">
        <v>478</v>
      </c>
      <c r="L4" s="1">
        <v>934</v>
      </c>
      <c r="M4" s="1">
        <v>2017</v>
      </c>
      <c r="N4" s="1">
        <v>455</v>
      </c>
      <c r="O4" s="1" t="s">
        <v>24</v>
      </c>
      <c r="P4" s="1">
        <v>2</v>
      </c>
      <c r="Q4" s="1">
        <f>P4*3*24</f>
        <v>144</v>
      </c>
      <c r="R4" s="1"/>
      <c r="S4" s="1"/>
      <c r="W4">
        <v>245.10201957552289</v>
      </c>
    </row>
    <row r="5" spans="1:23" x14ac:dyDescent="0.3">
      <c r="A5" s="1" t="s">
        <v>15</v>
      </c>
      <c r="B5" s="1">
        <f t="shared" si="0"/>
        <v>69298</v>
      </c>
      <c r="C5" s="1">
        <v>7899</v>
      </c>
      <c r="D5" s="1">
        <v>25000</v>
      </c>
      <c r="E5" s="1">
        <v>36399</v>
      </c>
      <c r="F5" s="6">
        <f t="shared" si="1"/>
        <v>32899</v>
      </c>
      <c r="G5" s="14">
        <v>2100</v>
      </c>
      <c r="H5" s="1">
        <v>333</v>
      </c>
      <c r="I5" s="4">
        <v>1955</v>
      </c>
      <c r="J5" s="1">
        <v>2943</v>
      </c>
      <c r="K5" s="1">
        <v>478</v>
      </c>
      <c r="L5" s="1">
        <v>1062</v>
      </c>
      <c r="M5" s="1">
        <v>1006</v>
      </c>
      <c r="N5" s="1">
        <v>455</v>
      </c>
      <c r="O5" s="1" t="s">
        <v>24</v>
      </c>
      <c r="P5" s="1">
        <v>2</v>
      </c>
      <c r="Q5" s="1">
        <f>P5*3*24</f>
        <v>144</v>
      </c>
      <c r="R5" s="1"/>
      <c r="S5" s="1"/>
      <c r="W5">
        <v>263.24513290847375</v>
      </c>
    </row>
    <row r="6" spans="1:23" x14ac:dyDescent="0.3">
      <c r="A6" s="1" t="s">
        <v>22</v>
      </c>
      <c r="B6" s="1">
        <f>SUM(C6:E6)</f>
        <v>89365</v>
      </c>
      <c r="C6" s="1">
        <v>9320</v>
      </c>
      <c r="D6" s="1">
        <v>35894</v>
      </c>
      <c r="E6" s="1">
        <v>44151</v>
      </c>
      <c r="F6" s="6">
        <f t="shared" si="1"/>
        <v>45214</v>
      </c>
      <c r="G6" s="14">
        <v>3100</v>
      </c>
      <c r="H6" s="1">
        <v>450</v>
      </c>
      <c r="I6" s="4">
        <v>1770</v>
      </c>
      <c r="J6" s="1">
        <v>4969</v>
      </c>
      <c r="K6" s="1">
        <v>385</v>
      </c>
      <c r="L6" s="1">
        <v>307</v>
      </c>
      <c r="M6" s="1">
        <v>420</v>
      </c>
      <c r="N6" s="1">
        <v>1469</v>
      </c>
      <c r="O6" s="1">
        <v>1878</v>
      </c>
      <c r="P6" s="1"/>
      <c r="Q6" s="1"/>
      <c r="R6" s="1"/>
      <c r="S6" s="1"/>
      <c r="W6">
        <v>298.93979326948096</v>
      </c>
    </row>
    <row r="7" spans="1:23" x14ac:dyDescent="0.3">
      <c r="A7" s="1" t="s">
        <v>16</v>
      </c>
      <c r="B7" s="1">
        <f t="shared" si="0"/>
        <v>44821</v>
      </c>
      <c r="C7" s="1">
        <v>5858</v>
      </c>
      <c r="D7" s="1">
        <v>16461</v>
      </c>
      <c r="E7" s="1">
        <v>22502</v>
      </c>
      <c r="F7" s="6">
        <f t="shared" si="1"/>
        <v>22319</v>
      </c>
      <c r="G7" s="14">
        <v>2260</v>
      </c>
      <c r="H7" s="1">
        <v>379</v>
      </c>
      <c r="I7" s="4">
        <v>2822</v>
      </c>
      <c r="J7" s="1">
        <v>1749</v>
      </c>
      <c r="K7" s="1">
        <v>204</v>
      </c>
      <c r="L7" s="1">
        <v>818</v>
      </c>
      <c r="M7" s="1">
        <v>265</v>
      </c>
      <c r="N7" s="1">
        <v>1</v>
      </c>
      <c r="O7" s="1" t="s">
        <v>24</v>
      </c>
      <c r="P7" s="1"/>
      <c r="Q7" s="1"/>
      <c r="R7" s="1"/>
      <c r="S7" s="1"/>
      <c r="W7">
        <v>211.70970691019343</v>
      </c>
    </row>
    <row r="8" spans="1:23" x14ac:dyDescent="0.3">
      <c r="A8" s="1" t="s">
        <v>17</v>
      </c>
      <c r="B8" s="1">
        <f t="shared" si="0"/>
        <v>61503</v>
      </c>
      <c r="C8" s="1">
        <v>7542</v>
      </c>
      <c r="D8" s="1">
        <v>28475</v>
      </c>
      <c r="E8" s="1">
        <v>25486</v>
      </c>
      <c r="F8" s="6">
        <f t="shared" si="1"/>
        <v>36017</v>
      </c>
      <c r="G8" s="14">
        <v>1900</v>
      </c>
      <c r="H8" s="1">
        <v>362</v>
      </c>
      <c r="I8" s="4">
        <v>2015</v>
      </c>
      <c r="J8" s="1">
        <v>2425</v>
      </c>
      <c r="K8" s="1">
        <v>553</v>
      </c>
      <c r="L8" s="1">
        <v>594</v>
      </c>
      <c r="M8" s="1">
        <v>1072</v>
      </c>
      <c r="N8" s="1">
        <v>883</v>
      </c>
      <c r="O8" s="1">
        <v>1508</v>
      </c>
      <c r="P8" s="1">
        <v>2</v>
      </c>
      <c r="Q8" s="1"/>
      <c r="R8" s="1"/>
      <c r="S8" s="1"/>
      <c r="W8">
        <v>247.99798386277257</v>
      </c>
    </row>
    <row r="9" spans="1:23" x14ac:dyDescent="0.3">
      <c r="A9" s="1" t="s">
        <v>18</v>
      </c>
      <c r="B9" s="1">
        <f t="shared" si="0"/>
        <v>57620</v>
      </c>
      <c r="C9" s="1">
        <v>7412</v>
      </c>
      <c r="D9" s="1">
        <v>26375</v>
      </c>
      <c r="E9" s="1">
        <v>23833</v>
      </c>
      <c r="F9" s="6">
        <f t="shared" si="1"/>
        <v>33787</v>
      </c>
      <c r="G9" s="14">
        <v>1900</v>
      </c>
      <c r="H9" s="1">
        <v>351</v>
      </c>
      <c r="I9" s="4">
        <v>1985</v>
      </c>
      <c r="J9" s="1">
        <v>2347</v>
      </c>
      <c r="K9" s="1">
        <v>553</v>
      </c>
      <c r="L9" s="1">
        <v>594</v>
      </c>
      <c r="M9" s="1">
        <v>1066</v>
      </c>
      <c r="N9" s="1">
        <v>867</v>
      </c>
      <c r="O9" s="1">
        <v>1483</v>
      </c>
      <c r="P9" s="1">
        <v>2</v>
      </c>
      <c r="Q9" s="1"/>
      <c r="R9" s="1"/>
      <c r="S9" s="1"/>
      <c r="W9">
        <v>240.04166305039632</v>
      </c>
    </row>
    <row r="10" spans="1:23" x14ac:dyDescent="0.3">
      <c r="A10" s="1" t="s">
        <v>19</v>
      </c>
      <c r="B10" s="1">
        <f t="shared" si="0"/>
        <v>47150</v>
      </c>
      <c r="C10" s="1">
        <v>5970</v>
      </c>
      <c r="D10" s="1">
        <v>22028</v>
      </c>
      <c r="E10" s="1">
        <v>19152</v>
      </c>
      <c r="F10" s="6">
        <f t="shared" si="1"/>
        <v>27998</v>
      </c>
      <c r="G10" s="14">
        <v>1900</v>
      </c>
      <c r="H10" s="1">
        <v>363</v>
      </c>
      <c r="I10" s="4">
        <v>1877</v>
      </c>
      <c r="J10" s="1">
        <v>1125</v>
      </c>
      <c r="K10" s="1">
        <v>553</v>
      </c>
      <c r="L10" s="1">
        <v>594</v>
      </c>
      <c r="M10" s="1">
        <v>1049</v>
      </c>
      <c r="N10" s="1">
        <v>772</v>
      </c>
      <c r="O10" s="1">
        <v>1194</v>
      </c>
      <c r="P10" s="1"/>
      <c r="Q10" s="1"/>
      <c r="R10" s="1"/>
      <c r="S10" s="1"/>
      <c r="W10">
        <v>217.14050750608465</v>
      </c>
    </row>
    <row r="11" spans="1:23" x14ac:dyDescent="0.3">
      <c r="A11" s="1" t="s">
        <v>20</v>
      </c>
      <c r="B11" s="1">
        <f t="shared" si="0"/>
        <v>45180</v>
      </c>
      <c r="C11" s="1">
        <v>5912</v>
      </c>
      <c r="D11" s="1">
        <v>20956</v>
      </c>
      <c r="E11" s="1">
        <v>18312</v>
      </c>
      <c r="F11" s="6">
        <f t="shared" si="1"/>
        <v>26868</v>
      </c>
      <c r="G11" s="14">
        <v>1900</v>
      </c>
      <c r="H11" s="1">
        <v>363</v>
      </c>
      <c r="I11" s="4">
        <v>1860</v>
      </c>
      <c r="J11" s="1">
        <v>1095</v>
      </c>
      <c r="K11" s="1">
        <v>553</v>
      </c>
      <c r="L11" s="1">
        <v>594</v>
      </c>
      <c r="M11" s="1">
        <v>1046</v>
      </c>
      <c r="N11" s="1">
        <v>764</v>
      </c>
      <c r="O11" s="1">
        <v>1182</v>
      </c>
      <c r="P11" s="1">
        <v>4.5</v>
      </c>
      <c r="Q11" s="1"/>
      <c r="R11" s="1"/>
      <c r="S11" s="1"/>
      <c r="W11">
        <v>212.55587500702021</v>
      </c>
    </row>
    <row r="12" spans="1:23" x14ac:dyDescent="0.3">
      <c r="A12" s="1" t="s">
        <v>23</v>
      </c>
      <c r="B12" s="1">
        <f t="shared" si="0"/>
        <v>11180</v>
      </c>
      <c r="C12" s="1">
        <v>6503</v>
      </c>
      <c r="D12" s="1">
        <v>229</v>
      </c>
      <c r="E12" s="1">
        <v>4448</v>
      </c>
      <c r="F12" s="6">
        <f t="shared" si="1"/>
        <v>6732</v>
      </c>
      <c r="G12" s="10">
        <f>H12*9.81*(LN(B12/(F12)))</f>
        <v>2239.2736279282085</v>
      </c>
      <c r="H12" s="1">
        <v>450</v>
      </c>
      <c r="I12" s="4">
        <v>1186.3399999999999</v>
      </c>
      <c r="J12" s="1">
        <v>918.21</v>
      </c>
      <c r="K12" s="1">
        <v>663</v>
      </c>
      <c r="L12" s="1">
        <v>258.7</v>
      </c>
      <c r="M12" s="1">
        <v>459.04</v>
      </c>
      <c r="N12" s="1">
        <v>1</v>
      </c>
      <c r="O12" s="1">
        <v>472</v>
      </c>
      <c r="P12" s="1">
        <v>5</v>
      </c>
      <c r="Q12" s="1"/>
      <c r="R12" s="1"/>
      <c r="S12" s="1"/>
      <c r="W12">
        <v>105.73551910309043</v>
      </c>
    </row>
    <row r="13" spans="1:23" ht="15" thickBot="1" x14ac:dyDescent="0.35">
      <c r="A13" s="1" t="s">
        <v>25</v>
      </c>
      <c r="B13" s="1">
        <f>45000+7853</f>
        <v>52853</v>
      </c>
      <c r="C13" s="1">
        <f>5848+1862+119</f>
        <v>7829</v>
      </c>
      <c r="D13" s="1">
        <f>7853+14221</f>
        <v>22074</v>
      </c>
      <c r="E13" s="1">
        <v>22950</v>
      </c>
      <c r="F13" s="6">
        <f t="shared" si="1"/>
        <v>29903</v>
      </c>
      <c r="G13" s="10">
        <f>H13*9.81*(LN(B13/(F13)))</f>
        <v>2514.3034845604184</v>
      </c>
      <c r="H13" s="1">
        <v>450</v>
      </c>
      <c r="I13" s="4">
        <v>453</v>
      </c>
      <c r="J13" s="1">
        <v>2969</v>
      </c>
      <c r="K13" s="1">
        <v>288</v>
      </c>
      <c r="L13" s="1">
        <v>519</v>
      </c>
      <c r="M13" s="1">
        <v>56</v>
      </c>
      <c r="N13" s="1">
        <v>527</v>
      </c>
      <c r="O13" s="1" t="s">
        <v>24</v>
      </c>
      <c r="P13" s="1">
        <v>3</v>
      </c>
      <c r="Q13" s="1">
        <f>P13*8.3</f>
        <v>24.900000000000002</v>
      </c>
      <c r="R13" s="1">
        <v>7.5</v>
      </c>
      <c r="S13" s="1"/>
      <c r="W13">
        <v>229.8978033822855</v>
      </c>
    </row>
    <row r="14" spans="1:23" x14ac:dyDescent="0.3">
      <c r="A14" s="9" t="s">
        <v>13</v>
      </c>
      <c r="B14" s="9">
        <f>5038-98-42.8</f>
        <v>4897.2</v>
      </c>
      <c r="C14" s="9">
        <v>1200.7</v>
      </c>
      <c r="D14" s="9">
        <f>423.3+50</f>
        <v>473.3</v>
      </c>
      <c r="E14" s="9">
        <v>3223.8</v>
      </c>
      <c r="F14" s="6">
        <f t="shared" si="1"/>
        <v>1673.3999999999996</v>
      </c>
      <c r="G14" s="15">
        <v>1910</v>
      </c>
      <c r="H14" s="9">
        <v>353</v>
      </c>
      <c r="I14" s="11">
        <v>404.8</v>
      </c>
      <c r="J14" s="9">
        <v>252.5</v>
      </c>
      <c r="K14" s="9">
        <v>125.7</v>
      </c>
      <c r="L14" s="9">
        <v>120.1</v>
      </c>
      <c r="M14" s="16">
        <v>113.5</v>
      </c>
      <c r="N14" s="12"/>
      <c r="O14" s="12"/>
      <c r="P14" s="12"/>
      <c r="Q14" s="9"/>
      <c r="R14" s="1"/>
      <c r="S14" s="1"/>
      <c r="W14">
        <v>69.979997142040517</v>
      </c>
    </row>
    <row r="15" spans="1:23" x14ac:dyDescent="0.3">
      <c r="A15" s="8" t="s">
        <v>30</v>
      </c>
      <c r="B15" s="8">
        <f>36272+18325</f>
        <v>54597</v>
      </c>
      <c r="C15" s="8">
        <v>6692</v>
      </c>
      <c r="D15" s="8">
        <v>18325</v>
      </c>
      <c r="E15" s="8">
        <v>29580</v>
      </c>
      <c r="F15" s="6">
        <f t="shared" si="1"/>
        <v>25017</v>
      </c>
      <c r="G15" s="10">
        <f>H15*9.81*(LN(B15/(F15)))</f>
        <v>2771.4549820453913</v>
      </c>
      <c r="H15" s="7">
        <v>362</v>
      </c>
      <c r="I15" s="4">
        <v>3757</v>
      </c>
      <c r="J15" s="8">
        <v>1219</v>
      </c>
      <c r="K15" s="8">
        <v>400</v>
      </c>
      <c r="L15" s="8">
        <v>200</v>
      </c>
      <c r="M15" s="7">
        <v>0</v>
      </c>
      <c r="N15" s="8">
        <v>166</v>
      </c>
      <c r="O15" s="8">
        <v>0</v>
      </c>
      <c r="P15" s="13"/>
      <c r="Q15" s="8"/>
      <c r="S15" s="1"/>
      <c r="W15">
        <v>233.66000941538968</v>
      </c>
    </row>
    <row r="16" spans="1:23" x14ac:dyDescent="0.3">
      <c r="A16" s="1" t="s">
        <v>32</v>
      </c>
      <c r="B16" s="1">
        <v>27021</v>
      </c>
      <c r="C16" s="1">
        <f>5663+563+782</f>
        <v>7008</v>
      </c>
      <c r="D16" s="6"/>
      <c r="E16" s="1">
        <v>20013</v>
      </c>
      <c r="F16" s="6">
        <f t="shared" si="1"/>
        <v>7008</v>
      </c>
      <c r="G16" s="10">
        <f>H16*9.81*(LN(B16/(F16)))</f>
        <v>4792.5915224416285</v>
      </c>
      <c r="H16" s="1">
        <v>362</v>
      </c>
      <c r="I16" s="4">
        <v>2441</v>
      </c>
      <c r="J16" s="1">
        <v>983</v>
      </c>
      <c r="K16" s="1">
        <v>741</v>
      </c>
      <c r="L16" s="1">
        <v>65</v>
      </c>
      <c r="M16" s="1">
        <f>57+564</f>
        <v>621</v>
      </c>
      <c r="N16" s="1">
        <v>109</v>
      </c>
      <c r="O16" s="1">
        <v>703</v>
      </c>
      <c r="P16" s="6"/>
      <c r="Q16" s="1"/>
      <c r="R16" s="1"/>
      <c r="S16" s="1" t="s">
        <v>37</v>
      </c>
      <c r="W16">
        <v>164.38065579623412</v>
      </c>
    </row>
    <row r="17" spans="1:23" x14ac:dyDescent="0.3">
      <c r="A17" s="1" t="s">
        <v>33</v>
      </c>
      <c r="B17" s="1">
        <f>35054+10808</f>
        <v>45862</v>
      </c>
      <c r="C17" s="1">
        <f>6136+1033+486</f>
        <v>7655</v>
      </c>
      <c r="D17" s="1">
        <f>10808+2294</f>
        <v>13102</v>
      </c>
      <c r="E17" s="1">
        <v>25105</v>
      </c>
      <c r="F17" s="6">
        <f t="shared" si="1"/>
        <v>20757</v>
      </c>
      <c r="G17" s="10">
        <f>H17*9.81*(LN(B17/(F17)))</f>
        <v>3499.6096559997736</v>
      </c>
      <c r="H17" s="1">
        <v>450</v>
      </c>
      <c r="I17" s="4">
        <v>1113</v>
      </c>
      <c r="J17" s="1">
        <v>2632</v>
      </c>
      <c r="K17" s="1">
        <v>468</v>
      </c>
      <c r="L17" s="1">
        <v>69</v>
      </c>
      <c r="M17" s="1">
        <f>281+88</f>
        <v>369</v>
      </c>
      <c r="N17" s="1">
        <v>842</v>
      </c>
      <c r="O17" s="1">
        <v>1023</v>
      </c>
      <c r="P17" s="6"/>
      <c r="Q17" s="1"/>
      <c r="R17" s="1"/>
      <c r="S17" s="1" t="s">
        <v>36</v>
      </c>
      <c r="W17">
        <v>214.15415008820165</v>
      </c>
    </row>
    <row r="18" spans="1:23" x14ac:dyDescent="0.3">
      <c r="A18" s="1" t="s">
        <v>34</v>
      </c>
      <c r="B18" s="1">
        <f>10790+39791+31330</f>
        <v>81911</v>
      </c>
      <c r="C18" s="1">
        <f>9226+500+148</f>
        <v>9874</v>
      </c>
      <c r="D18" s="1">
        <f>31330+10790</f>
        <v>42120</v>
      </c>
      <c r="E18" s="1">
        <v>29756</v>
      </c>
      <c r="F18" s="6">
        <f t="shared" si="1"/>
        <v>52155</v>
      </c>
      <c r="G18" s="10">
        <f>H18*9.81*(LN(B18/(F18)))</f>
        <v>1992.76373847382</v>
      </c>
      <c r="H18" s="1">
        <v>450</v>
      </c>
      <c r="I18" s="4">
        <v>2432</v>
      </c>
      <c r="J18" s="1">
        <v>1826</v>
      </c>
      <c r="K18" s="1">
        <v>336</v>
      </c>
      <c r="L18" s="1">
        <v>145</v>
      </c>
      <c r="M18" s="1">
        <f>1008+160</f>
        <v>1168</v>
      </c>
      <c r="N18" s="1">
        <v>1781</v>
      </c>
      <c r="O18" s="1">
        <v>1538</v>
      </c>
      <c r="P18" s="6"/>
      <c r="Q18" s="1"/>
      <c r="R18" s="1"/>
      <c r="S18" s="1"/>
      <c r="W18">
        <v>286.20097833515524</v>
      </c>
    </row>
    <row r="19" spans="1:23" x14ac:dyDescent="0.3">
      <c r="A19" s="1" t="s">
        <v>38</v>
      </c>
      <c r="B19" s="1">
        <v>37494</v>
      </c>
      <c r="C19" s="1">
        <v>9050</v>
      </c>
      <c r="D19" s="6"/>
      <c r="E19" s="1">
        <v>25486</v>
      </c>
      <c r="F19" s="6">
        <f t="shared" si="1"/>
        <v>12008</v>
      </c>
      <c r="G19" s="10">
        <f>H19*9.81*(LN(B19/(F19)))</f>
        <v>4043.4468832931575</v>
      </c>
      <c r="H19" s="1">
        <v>362</v>
      </c>
      <c r="I19" s="4">
        <v>2015</v>
      </c>
      <c r="J19" s="1">
        <v>2425</v>
      </c>
      <c r="K19" s="1">
        <v>553</v>
      </c>
      <c r="L19" s="1">
        <v>594</v>
      </c>
      <c r="M19" s="1">
        <f>777+295</f>
        <v>1072</v>
      </c>
      <c r="N19" s="1">
        <v>883</v>
      </c>
      <c r="O19" s="1">
        <v>1508</v>
      </c>
      <c r="P19" s="6"/>
      <c r="Q19" s="1"/>
      <c r="R19" s="1"/>
      <c r="S19" s="1" t="s">
        <v>37</v>
      </c>
      <c r="W19">
        <v>193.63367475725909</v>
      </c>
    </row>
    <row r="20" spans="1:23" x14ac:dyDescent="0.3">
      <c r="A20" s="1" t="s">
        <v>39</v>
      </c>
      <c r="B20" s="1">
        <v>35667</v>
      </c>
      <c r="C20" s="1">
        <v>8895</v>
      </c>
      <c r="D20" s="6"/>
      <c r="E20" s="1">
        <v>23883</v>
      </c>
      <c r="F20" s="6">
        <f t="shared" si="1"/>
        <v>11784</v>
      </c>
      <c r="G20" s="10">
        <f>H20*9.81*(LN(B20/(F20)))</f>
        <v>3813.4080200345998</v>
      </c>
      <c r="H20" s="1">
        <v>351</v>
      </c>
      <c r="I20" s="4">
        <v>1985</v>
      </c>
      <c r="J20" s="1">
        <v>2347</v>
      </c>
      <c r="K20" s="1">
        <v>553</v>
      </c>
      <c r="L20" s="1">
        <v>594</v>
      </c>
      <c r="M20" s="1">
        <f>777+289</f>
        <v>1066</v>
      </c>
      <c r="N20" s="1">
        <v>867</v>
      </c>
      <c r="O20" s="1">
        <v>1483</v>
      </c>
      <c r="P20" s="6"/>
      <c r="Q20" s="1"/>
      <c r="R20" s="1"/>
      <c r="S20" s="1" t="s">
        <v>37</v>
      </c>
      <c r="W20">
        <v>188.8570888264457</v>
      </c>
    </row>
    <row r="21" spans="1:23" x14ac:dyDescent="0.3">
      <c r="A21" s="1" t="s">
        <v>40</v>
      </c>
      <c r="B21" s="1">
        <v>28819</v>
      </c>
      <c r="C21" s="1">
        <f>7164+1286</f>
        <v>8450</v>
      </c>
      <c r="D21" s="6"/>
      <c r="E21" s="1">
        <v>19152</v>
      </c>
      <c r="F21" s="6">
        <f t="shared" si="1"/>
        <v>9667</v>
      </c>
      <c r="G21" s="10">
        <f>H21*9.81*(LN(B21/(F21)))</f>
        <v>3889.7731377381924</v>
      </c>
      <c r="H21" s="1">
        <v>363</v>
      </c>
      <c r="I21" s="4">
        <v>1877</v>
      </c>
      <c r="J21" s="1">
        <v>1125</v>
      </c>
      <c r="K21" s="1">
        <v>553</v>
      </c>
      <c r="L21" s="1">
        <v>594</v>
      </c>
      <c r="M21" s="1">
        <f>777+272</f>
        <v>1049</v>
      </c>
      <c r="N21" s="1">
        <v>772</v>
      </c>
      <c r="O21" s="1">
        <v>1194</v>
      </c>
      <c r="P21" s="1"/>
      <c r="Q21" s="1"/>
      <c r="R21" s="1"/>
      <c r="S21" s="1" t="s">
        <v>37</v>
      </c>
      <c r="W21">
        <v>169.7615975419647</v>
      </c>
    </row>
    <row r="22" spans="1:23" x14ac:dyDescent="0.3">
      <c r="A22" s="1" t="s">
        <v>41</v>
      </c>
      <c r="B22" s="1">
        <f>34504+7755</f>
        <v>42259</v>
      </c>
      <c r="C22" s="1">
        <f>4722+95</f>
        <v>4817</v>
      </c>
      <c r="D22" s="1">
        <f>7755+1590</f>
        <v>9345</v>
      </c>
      <c r="E22" s="1">
        <v>27442</v>
      </c>
      <c r="F22" s="6">
        <f t="shared" si="1"/>
        <v>14817</v>
      </c>
      <c r="G22" s="10">
        <f>H22*9.81*(LN(B22/(F22)))</f>
        <v>3320.8578885135848</v>
      </c>
      <c r="H22" s="1">
        <v>323</v>
      </c>
      <c r="I22" s="4">
        <v>1101</v>
      </c>
      <c r="J22" s="1">
        <v>1616</v>
      </c>
      <c r="K22" s="1">
        <v>306</v>
      </c>
      <c r="L22" s="1">
        <v>69</v>
      </c>
      <c r="M22" s="1">
        <f>999+156</f>
        <v>1155</v>
      </c>
      <c r="N22" s="1">
        <f>842</f>
        <v>842</v>
      </c>
      <c r="O22" s="1">
        <f>1257</f>
        <v>1257</v>
      </c>
      <c r="P22" s="1"/>
      <c r="Q22" s="1"/>
      <c r="R22" s="1"/>
      <c r="S22" s="1" t="s">
        <v>36</v>
      </c>
      <c r="W22">
        <v>205.56993943667931</v>
      </c>
    </row>
    <row r="23" spans="1:23" x14ac:dyDescent="0.3">
      <c r="A23" s="1" t="s">
        <v>42</v>
      </c>
      <c r="B23" s="1">
        <f>34018+7812</f>
        <v>41830</v>
      </c>
      <c r="C23" s="1">
        <f>5621+1968</f>
        <v>7589</v>
      </c>
      <c r="D23" s="1">
        <f>7812+1590</f>
        <v>9402</v>
      </c>
      <c r="E23" s="1">
        <v>24744</v>
      </c>
      <c r="F23" s="6">
        <f t="shared" si="1"/>
        <v>17086</v>
      </c>
      <c r="G23" s="10">
        <f>H23*9.81*(LN(B23/(F23)))</f>
        <v>3188.3837747817079</v>
      </c>
      <c r="H23" s="6">
        <v>363</v>
      </c>
      <c r="I23" s="4">
        <v>1355</v>
      </c>
      <c r="J23" s="1">
        <v>2013</v>
      </c>
      <c r="K23" s="1">
        <v>306</v>
      </c>
      <c r="L23" s="1">
        <v>69</v>
      </c>
      <c r="M23" s="1">
        <f>124+141</f>
        <v>265</v>
      </c>
      <c r="N23" s="1">
        <f>584</f>
        <v>584</v>
      </c>
      <c r="O23" s="1">
        <f>937</f>
        <v>937</v>
      </c>
      <c r="P23" s="1"/>
      <c r="Q23" s="1"/>
      <c r="R23" s="1"/>
      <c r="S23" s="1" t="s">
        <v>47</v>
      </c>
      <c r="W23">
        <v>204.52383724153034</v>
      </c>
    </row>
    <row r="24" spans="1:23" x14ac:dyDescent="0.3">
      <c r="A24" s="1" t="s">
        <v>43</v>
      </c>
      <c r="B24" s="1">
        <f>15154+7737</f>
        <v>22891</v>
      </c>
      <c r="C24" s="1">
        <f>2761</f>
        <v>2761</v>
      </c>
      <c r="D24" s="1">
        <f>7737+1590</f>
        <v>9327</v>
      </c>
      <c r="E24" s="1">
        <f>10458</f>
        <v>10458</v>
      </c>
      <c r="F24" s="6">
        <f t="shared" si="1"/>
        <v>12433</v>
      </c>
      <c r="G24" s="10">
        <f>H24*9.81*(LN(B24/(F24)))</f>
        <v>1934.0987736564762</v>
      </c>
      <c r="H24" s="1">
        <v>323</v>
      </c>
      <c r="I24" s="4">
        <v>451</v>
      </c>
      <c r="J24" s="1">
        <v>677</v>
      </c>
      <c r="K24" s="1">
        <v>306</v>
      </c>
      <c r="L24" s="1">
        <v>69</v>
      </c>
      <c r="M24" s="1">
        <f>124+86</f>
        <v>210</v>
      </c>
      <c r="N24" s="1">
        <v>496</v>
      </c>
      <c r="O24" s="1">
        <v>460</v>
      </c>
      <c r="P24" s="1"/>
      <c r="Q24" s="1"/>
      <c r="R24" s="1"/>
      <c r="S24" s="1"/>
      <c r="W24">
        <v>151.29771974487917</v>
      </c>
    </row>
    <row r="25" spans="1:23" x14ac:dyDescent="0.3">
      <c r="A25" s="1" t="s">
        <v>44</v>
      </c>
      <c r="B25" s="1">
        <f>15472+7667</f>
        <v>23139</v>
      </c>
      <c r="C25" s="1">
        <v>3442</v>
      </c>
      <c r="D25" s="1">
        <f>7667+1590</f>
        <v>9257</v>
      </c>
      <c r="E25" s="1">
        <v>9350</v>
      </c>
      <c r="F25" s="6">
        <f t="shared" si="1"/>
        <v>13789</v>
      </c>
      <c r="G25" s="10">
        <f>H25*9.81*(LN(B25/(F25)))</f>
        <v>1843.3612424096523</v>
      </c>
      <c r="H25" s="6">
        <v>363</v>
      </c>
      <c r="I25" s="4">
        <v>717</v>
      </c>
      <c r="J25" s="1">
        <v>955</v>
      </c>
      <c r="K25" s="1">
        <v>306</v>
      </c>
      <c r="L25" s="1">
        <v>69</v>
      </c>
      <c r="M25" s="1">
        <f>124+95</f>
        <v>219</v>
      </c>
      <c r="N25" s="1">
        <v>510</v>
      </c>
      <c r="O25" s="1">
        <v>574</v>
      </c>
      <c r="P25" s="1"/>
      <c r="Q25" s="1"/>
      <c r="R25" s="1"/>
      <c r="S25" s="1"/>
      <c r="W25">
        <v>152.11508800904662</v>
      </c>
    </row>
    <row r="26" spans="1:23" x14ac:dyDescent="0.3">
      <c r="A26" s="1" t="s">
        <v>45</v>
      </c>
      <c r="B26" s="1">
        <f>13564+9600</f>
        <v>23164</v>
      </c>
      <c r="C26" s="1">
        <f>2761+250</f>
        <v>3011</v>
      </c>
      <c r="D26" s="1">
        <v>9600</v>
      </c>
      <c r="E26" s="1">
        <v>10458</v>
      </c>
      <c r="F26" s="6">
        <f t="shared" si="1"/>
        <v>12706</v>
      </c>
      <c r="G26" s="10">
        <f>H26*9.81*(LN(B26/(F26)))</f>
        <v>1902.8416147795385</v>
      </c>
      <c r="H26" s="1">
        <v>323</v>
      </c>
      <c r="I26" s="4">
        <v>451</v>
      </c>
      <c r="J26" s="1">
        <v>677</v>
      </c>
      <c r="K26" s="1">
        <v>306</v>
      </c>
      <c r="L26" s="1">
        <v>69</v>
      </c>
      <c r="M26" s="1">
        <f>124+86</f>
        <v>210</v>
      </c>
      <c r="N26" s="1">
        <v>496</v>
      </c>
      <c r="O26" s="1">
        <v>460</v>
      </c>
      <c r="P26" s="1"/>
      <c r="Q26" s="1"/>
      <c r="R26" s="1"/>
      <c r="S26" s="1"/>
      <c r="W26">
        <v>152.19724044804491</v>
      </c>
    </row>
    <row r="27" spans="1:23" x14ac:dyDescent="0.3">
      <c r="A27" s="1" t="s">
        <v>46</v>
      </c>
      <c r="B27" s="1">
        <f>13882+9313</f>
        <v>23195</v>
      </c>
      <c r="C27" s="1">
        <v>3442</v>
      </c>
      <c r="D27" s="1">
        <v>9313</v>
      </c>
      <c r="E27" s="1">
        <v>9350</v>
      </c>
      <c r="F27" s="6">
        <f t="shared" si="1"/>
        <v>13845</v>
      </c>
      <c r="G27" s="10">
        <f>H27*9.81*(LN(B27/(F27)))</f>
        <v>1837.5362833866116</v>
      </c>
      <c r="H27" s="6">
        <v>363</v>
      </c>
      <c r="I27" s="4">
        <v>717</v>
      </c>
      <c r="J27" s="1">
        <v>955</v>
      </c>
      <c r="K27" s="1">
        <v>306</v>
      </c>
      <c r="L27" s="1">
        <v>69</v>
      </c>
      <c r="M27" s="1">
        <f>124+95</f>
        <v>219</v>
      </c>
      <c r="N27" s="1">
        <v>510</v>
      </c>
      <c r="O27" s="1">
        <v>574</v>
      </c>
      <c r="P27" s="1"/>
      <c r="Q27" s="1"/>
      <c r="R27" s="1"/>
      <c r="S27" s="1"/>
      <c r="W27">
        <v>152.29904792873788</v>
      </c>
    </row>
    <row r="28" spans="1:23" x14ac:dyDescent="0.3">
      <c r="A28" s="1" t="s">
        <v>48</v>
      </c>
      <c r="B28" s="1">
        <f>33067+14234</f>
        <v>47301</v>
      </c>
      <c r="C28" s="1">
        <f>4739+658</f>
        <v>5397</v>
      </c>
      <c r="D28" s="1">
        <v>14234</v>
      </c>
      <c r="E28" s="1">
        <v>27575</v>
      </c>
      <c r="F28" s="6">
        <f t="shared" si="1"/>
        <v>19726</v>
      </c>
      <c r="G28" s="10">
        <f>H28*9.81*(LN(B28/(F28)))</f>
        <v>2771.2643882136222</v>
      </c>
      <c r="H28" s="1">
        <v>323</v>
      </c>
      <c r="I28" s="4">
        <v>1017</v>
      </c>
      <c r="J28" s="1">
        <v>1624</v>
      </c>
      <c r="K28" s="1">
        <v>306</v>
      </c>
      <c r="L28" s="1">
        <v>69</v>
      </c>
      <c r="M28" s="1">
        <f>124+162</f>
        <v>286</v>
      </c>
      <c r="N28" s="1">
        <v>555</v>
      </c>
      <c r="O28" s="1">
        <v>790</v>
      </c>
      <c r="P28" s="1"/>
      <c r="Q28" s="1"/>
      <c r="R28" s="1"/>
      <c r="S28" s="1" t="s">
        <v>50</v>
      </c>
      <c r="W28">
        <v>217.48793069961377</v>
      </c>
    </row>
    <row r="29" spans="1:23" x14ac:dyDescent="0.3">
      <c r="A29" s="1" t="s">
        <v>49</v>
      </c>
      <c r="B29" s="1">
        <f>32700+14415</f>
        <v>47115</v>
      </c>
      <c r="C29" s="1">
        <f>5655+1981</f>
        <v>7636</v>
      </c>
      <c r="D29" s="1">
        <v>14415</v>
      </c>
      <c r="E29" s="1">
        <v>24969</v>
      </c>
      <c r="F29" s="6">
        <f t="shared" si="1"/>
        <v>22146</v>
      </c>
      <c r="G29" s="10">
        <f>H29*9.81*(LN(B29/(F29)))</f>
        <v>2688.3445036070134</v>
      </c>
      <c r="H29" s="6">
        <v>363</v>
      </c>
      <c r="I29" s="4">
        <v>1364</v>
      </c>
      <c r="J29" s="1">
        <v>2027</v>
      </c>
      <c r="K29" s="1">
        <v>306</v>
      </c>
      <c r="L29" s="1">
        <v>69</v>
      </c>
      <c r="M29" s="1">
        <f>124+142</f>
        <v>266</v>
      </c>
      <c r="N29" s="1">
        <f>589</f>
        <v>589</v>
      </c>
      <c r="O29" s="1">
        <v>942</v>
      </c>
      <c r="P29" s="1"/>
      <c r="S29" s="1" t="s">
        <v>50</v>
      </c>
      <c r="W29">
        <v>217.05989956691678</v>
      </c>
    </row>
    <row r="30" spans="1:23" x14ac:dyDescent="0.3">
      <c r="A30" s="1" t="s">
        <v>51</v>
      </c>
      <c r="B30" s="1">
        <f>14030+5550</f>
        <v>19580</v>
      </c>
      <c r="C30" s="1">
        <f>4690+990</f>
        <v>5680</v>
      </c>
      <c r="D30" s="1">
        <f>5550+500</f>
        <v>6050</v>
      </c>
      <c r="E30" s="1">
        <f>6900</f>
        <v>6900</v>
      </c>
      <c r="F30" s="6">
        <f t="shared" si="1"/>
        <v>12680</v>
      </c>
      <c r="G30" s="10">
        <f>H30*9.81*(LN(B30/(F30)))</f>
        <v>1960.6465782897556</v>
      </c>
      <c r="H30" s="1">
        <v>460</v>
      </c>
      <c r="I30" s="4">
        <v>1150</v>
      </c>
      <c r="J30" s="1">
        <v>750</v>
      </c>
      <c r="K30" s="1">
        <v>630</v>
      </c>
      <c r="L30" s="1">
        <v>80</v>
      </c>
      <c r="M30" s="1">
        <f>740+60</f>
        <v>800</v>
      </c>
      <c r="N30" s="1">
        <f>440</f>
        <v>440</v>
      </c>
      <c r="O30" s="1">
        <f>840</f>
        <v>840</v>
      </c>
      <c r="P30" s="1"/>
      <c r="W30">
        <v>139.92855319769444</v>
      </c>
    </row>
    <row r="31" spans="1:23" x14ac:dyDescent="0.3">
      <c r="A31" s="1" t="s">
        <v>52</v>
      </c>
      <c r="B31" s="1">
        <v>37848</v>
      </c>
      <c r="C31" s="1">
        <f>9369+1885</f>
        <v>11254</v>
      </c>
      <c r="D31" s="6"/>
      <c r="E31" s="1">
        <v>25492</v>
      </c>
      <c r="F31" s="6">
        <f t="shared" si="1"/>
        <v>12356</v>
      </c>
      <c r="G31" s="10">
        <f t="shared" ref="G31:G39" si="2">H31*9.81*(LN(B31/(F31)))</f>
        <v>3843.5847532961689</v>
      </c>
      <c r="H31" s="1">
        <v>350</v>
      </c>
      <c r="I31" s="4">
        <v>2464</v>
      </c>
      <c r="J31" s="1">
        <v>2422</v>
      </c>
      <c r="K31" s="1">
        <v>553</v>
      </c>
      <c r="L31" s="1">
        <v>594</v>
      </c>
      <c r="M31" s="1">
        <f>777+106</f>
        <v>883</v>
      </c>
      <c r="N31" s="1">
        <f>892</f>
        <v>892</v>
      </c>
      <c r="O31" s="1">
        <v>1561</v>
      </c>
      <c r="P31" s="1"/>
      <c r="S31" s="1" t="s">
        <v>37</v>
      </c>
      <c r="W31">
        <v>194.54562446891475</v>
      </c>
    </row>
    <row r="32" spans="1:23" x14ac:dyDescent="0.3">
      <c r="A32" s="1" t="s">
        <v>53</v>
      </c>
      <c r="B32" s="1">
        <f>39807+5193</f>
        <v>45000</v>
      </c>
      <c r="C32" s="1">
        <v>8260</v>
      </c>
      <c r="D32" s="1">
        <f>5193+4654</f>
        <v>9847</v>
      </c>
      <c r="E32" s="1">
        <f>24706</f>
        <v>24706</v>
      </c>
      <c r="F32" s="6">
        <f t="shared" si="1"/>
        <v>20294</v>
      </c>
      <c r="G32" s="10">
        <f t="shared" si="2"/>
        <v>3023.2703425059144</v>
      </c>
      <c r="H32" s="17">
        <v>387</v>
      </c>
      <c r="I32" s="4">
        <v>1932</v>
      </c>
      <c r="J32" s="1">
        <v>2239</v>
      </c>
      <c r="K32" s="1">
        <v>468</v>
      </c>
      <c r="L32" s="1">
        <v>306</v>
      </c>
      <c r="M32" s="1">
        <f>1119+88</f>
        <v>1207</v>
      </c>
      <c r="N32" s="1">
        <v>640</v>
      </c>
      <c r="O32" s="1">
        <v>1377</v>
      </c>
      <c r="P32" s="1"/>
      <c r="W32">
        <v>212.13203435596427</v>
      </c>
    </row>
    <row r="33" spans="1:19" x14ac:dyDescent="0.3">
      <c r="A33" s="1" t="s">
        <v>54</v>
      </c>
      <c r="B33" s="1">
        <f>40007+4994</f>
        <v>45001</v>
      </c>
      <c r="C33" s="1">
        <f>8627+1502</f>
        <v>10129</v>
      </c>
      <c r="D33" s="1">
        <f>4994+686</f>
        <v>5680</v>
      </c>
      <c r="E33" s="1">
        <v>24706</v>
      </c>
      <c r="F33" s="6">
        <f t="shared" si="1"/>
        <v>20295</v>
      </c>
      <c r="G33" s="10">
        <f t="shared" si="2"/>
        <v>3023.1676386581948</v>
      </c>
      <c r="H33" s="17">
        <v>387</v>
      </c>
      <c r="I33" s="4">
        <v>2203</v>
      </c>
      <c r="J33" s="1">
        <v>2239</v>
      </c>
      <c r="K33" s="1">
        <v>468</v>
      </c>
      <c r="L33" s="1">
        <v>306</v>
      </c>
      <c r="M33" s="1">
        <f>1104+88</f>
        <v>1192</v>
      </c>
      <c r="N33" s="1">
        <v>690</v>
      </c>
      <c r="O33" s="1">
        <v>1438</v>
      </c>
      <c r="P33" s="1"/>
    </row>
    <row r="34" spans="1:19" x14ac:dyDescent="0.3">
      <c r="A34" s="1" t="s">
        <v>55</v>
      </c>
      <c r="B34" s="1">
        <f>39779+5220</f>
        <v>44999</v>
      </c>
      <c r="C34" s="1">
        <f>8268+1583</f>
        <v>9851</v>
      </c>
      <c r="D34" s="1">
        <f>5220+4736</f>
        <v>9956</v>
      </c>
      <c r="E34" s="1">
        <v>24706</v>
      </c>
      <c r="F34" s="6">
        <f t="shared" si="1"/>
        <v>20293</v>
      </c>
      <c r="G34" s="10">
        <f t="shared" si="2"/>
        <v>3023.3730536970029</v>
      </c>
      <c r="H34" s="18">
        <v>387</v>
      </c>
      <c r="I34" s="4">
        <v>2289</v>
      </c>
      <c r="J34" s="1">
        <v>2239</v>
      </c>
      <c r="K34" s="1">
        <v>468</v>
      </c>
      <c r="L34" s="1">
        <v>354</v>
      </c>
      <c r="M34" s="1">
        <f>1104+88</f>
        <v>1192</v>
      </c>
      <c r="N34" s="1">
        <f>257</f>
        <v>257</v>
      </c>
      <c r="O34" s="1">
        <f>1378</f>
        <v>1378</v>
      </c>
      <c r="P34" s="1"/>
      <c r="S34" t="s">
        <v>56</v>
      </c>
    </row>
    <row r="35" spans="1:19" x14ac:dyDescent="0.3">
      <c r="A35" s="1" t="s">
        <v>57</v>
      </c>
      <c r="B35" s="1">
        <f>53643</f>
        <v>53643</v>
      </c>
      <c r="C35" s="1">
        <f>6753+1033</f>
        <v>7786</v>
      </c>
      <c r="D35" s="1">
        <v>19000</v>
      </c>
      <c r="E35" s="1">
        <v>26371</v>
      </c>
      <c r="F35" s="6">
        <f t="shared" si="1"/>
        <v>27272</v>
      </c>
      <c r="G35" s="10">
        <f t="shared" si="2"/>
        <v>2986.3670934036945</v>
      </c>
      <c r="H35" s="1">
        <v>450</v>
      </c>
      <c r="I35" s="4">
        <v>1113</v>
      </c>
      <c r="J35" s="1">
        <v>2362</v>
      </c>
      <c r="K35" s="1">
        <v>468</v>
      </c>
      <c r="L35" s="1">
        <v>69</v>
      </c>
      <c r="M35" s="1">
        <f>281+88</f>
        <v>369</v>
      </c>
      <c r="N35" s="1">
        <v>640</v>
      </c>
      <c r="O35" s="1">
        <v>1640</v>
      </c>
      <c r="P35" s="1"/>
    </row>
    <row r="36" spans="1:19" x14ac:dyDescent="0.3">
      <c r="A36" s="1" t="s">
        <v>58</v>
      </c>
      <c r="B36" s="1">
        <f>45001+4971</f>
        <v>49972</v>
      </c>
      <c r="C36" s="1">
        <f>11660+3671</f>
        <v>15331</v>
      </c>
      <c r="D36" s="1">
        <f>4971+1627</f>
        <v>6598</v>
      </c>
      <c r="E36" s="1">
        <f>28043</f>
        <v>28043</v>
      </c>
      <c r="F36" s="6">
        <f t="shared" si="1"/>
        <v>21929</v>
      </c>
      <c r="G36" s="10">
        <f t="shared" si="2"/>
        <v>3636.0156688434217</v>
      </c>
      <c r="H36" s="1">
        <v>450</v>
      </c>
      <c r="I36" s="4">
        <v>4545</v>
      </c>
      <c r="J36" s="1">
        <v>3111</v>
      </c>
      <c r="K36" s="1">
        <v>934</v>
      </c>
      <c r="L36" s="1">
        <v>441</v>
      </c>
      <c r="M36" s="1">
        <f>156+180</f>
        <v>336</v>
      </c>
      <c r="N36" s="1">
        <f>946</f>
        <v>946</v>
      </c>
      <c r="O36" s="1">
        <v>1864</v>
      </c>
      <c r="P36" s="1"/>
    </row>
    <row r="37" spans="1:19" x14ac:dyDescent="0.3">
      <c r="A37" s="1" t="s">
        <v>59</v>
      </c>
      <c r="B37" s="1">
        <f>45001+4971</f>
        <v>49972</v>
      </c>
      <c r="C37" s="1">
        <f>11448+3671</f>
        <v>15119</v>
      </c>
      <c r="D37" s="1">
        <f>4971+1839</f>
        <v>6810</v>
      </c>
      <c r="E37" s="1">
        <f>28043</f>
        <v>28043</v>
      </c>
      <c r="F37" s="6">
        <f t="shared" si="1"/>
        <v>21929</v>
      </c>
      <c r="G37" s="10">
        <f t="shared" si="2"/>
        <v>3636.0156688434217</v>
      </c>
      <c r="H37" s="1">
        <v>450</v>
      </c>
      <c r="I37" s="4">
        <v>4430</v>
      </c>
      <c r="J37" s="1">
        <v>3182</v>
      </c>
      <c r="K37" s="1">
        <v>934</v>
      </c>
      <c r="L37" s="1">
        <v>441</v>
      </c>
      <c r="M37" s="1">
        <f>156+180</f>
        <v>336</v>
      </c>
      <c r="N37" s="1">
        <v>429</v>
      </c>
      <c r="O37" s="1">
        <v>1696</v>
      </c>
      <c r="P37" s="1"/>
    </row>
    <row r="38" spans="1:19" x14ac:dyDescent="0.3">
      <c r="A38" s="1" t="s">
        <v>60</v>
      </c>
      <c r="B38" s="1">
        <f>45000+5005</f>
        <v>50005</v>
      </c>
      <c r="C38" s="1">
        <f>16575+2445</f>
        <v>19020</v>
      </c>
      <c r="D38" s="1">
        <f>937+5005</f>
        <v>5942</v>
      </c>
      <c r="E38" s="1">
        <f>28043</f>
        <v>28043</v>
      </c>
      <c r="F38" s="6">
        <f t="shared" si="1"/>
        <v>21962</v>
      </c>
      <c r="G38" s="10">
        <f t="shared" si="2"/>
        <v>3632.2917133551828</v>
      </c>
      <c r="H38" s="1">
        <v>450</v>
      </c>
      <c r="I38" s="4">
        <f>6565</f>
        <v>6565</v>
      </c>
      <c r="J38" s="1">
        <v>2889</v>
      </c>
      <c r="K38" s="1">
        <v>934</v>
      </c>
      <c r="L38" s="1">
        <v>441</v>
      </c>
      <c r="M38" s="1">
        <f>156+180</f>
        <v>336</v>
      </c>
      <c r="N38" s="1">
        <f>446</f>
        <v>446</v>
      </c>
      <c r="O38" s="1">
        <v>1964</v>
      </c>
      <c r="P38" s="1"/>
    </row>
    <row r="39" spans="1:19" x14ac:dyDescent="0.3">
      <c r="A39" s="1" t="s">
        <v>61</v>
      </c>
      <c r="B39" s="1">
        <f>45000+4971</f>
        <v>49971</v>
      </c>
      <c r="C39" s="1">
        <f>8131+2889</f>
        <v>11020</v>
      </c>
      <c r="D39" s="1">
        <f>4971+5937</f>
        <v>10908</v>
      </c>
      <c r="E39" s="1">
        <f>28043</f>
        <v>28043</v>
      </c>
      <c r="F39" s="6">
        <f t="shared" si="1"/>
        <v>21928</v>
      </c>
      <c r="G39" s="10">
        <f t="shared" si="2"/>
        <v>3636.1286418487784</v>
      </c>
      <c r="H39" s="1">
        <v>450</v>
      </c>
      <c r="I39" s="4">
        <v>1856</v>
      </c>
      <c r="J39" s="1">
        <v>2578</v>
      </c>
      <c r="K39" s="1">
        <v>934</v>
      </c>
      <c r="L39" s="1">
        <v>441</v>
      </c>
      <c r="M39" s="1">
        <f>156+180</f>
        <v>336</v>
      </c>
      <c r="N39" s="1">
        <v>706</v>
      </c>
      <c r="O39" s="1">
        <v>1280</v>
      </c>
      <c r="P39" s="1"/>
    </row>
    <row r="40" spans="1:19" x14ac:dyDescent="0.3">
      <c r="A40" s="1" t="s">
        <v>62</v>
      </c>
      <c r="B40" s="1">
        <f>45001+4971</f>
        <v>49972</v>
      </c>
      <c r="C40" s="1">
        <f>7695+2731</f>
        <v>10426</v>
      </c>
      <c r="D40" s="1">
        <f>4971+6532</f>
        <v>11503</v>
      </c>
      <c r="E40" s="1">
        <v>28043</v>
      </c>
      <c r="F40" s="6">
        <f t="shared" ref="F40:F43" si="3">B40-E40</f>
        <v>21929</v>
      </c>
      <c r="G40" s="10">
        <f t="shared" ref="G40:G43" si="4">H40*9.81*(LN(B40/(F40)))</f>
        <v>3636.0156688434217</v>
      </c>
      <c r="H40" s="1">
        <v>450</v>
      </c>
      <c r="I40" s="4">
        <v>1638</v>
      </c>
      <c r="J40" s="1">
        <v>2601</v>
      </c>
      <c r="K40" s="1">
        <v>934</v>
      </c>
      <c r="L40" s="1">
        <v>441</v>
      </c>
      <c r="M40" s="1">
        <f>156+180</f>
        <v>336</v>
      </c>
      <c r="N40" s="1">
        <v>548</v>
      </c>
      <c r="O40" s="1">
        <v>1197</v>
      </c>
      <c r="P40" s="1"/>
    </row>
    <row r="41" spans="1:19" x14ac:dyDescent="0.3">
      <c r="A41" s="1" t="s">
        <v>63</v>
      </c>
      <c r="B41" s="1">
        <f>6912</f>
        <v>6912</v>
      </c>
      <c r="C41" s="1">
        <f>3087</f>
        <v>3087</v>
      </c>
      <c r="D41" s="6"/>
      <c r="E41" s="1">
        <f>3345</f>
        <v>3345</v>
      </c>
      <c r="F41" s="6">
        <f t="shared" si="3"/>
        <v>3567</v>
      </c>
      <c r="G41" s="10">
        <f t="shared" si="4"/>
        <v>2096.1568748948289</v>
      </c>
      <c r="H41" s="1">
        <v>323</v>
      </c>
      <c r="I41" s="4">
        <v>1050</v>
      </c>
      <c r="J41" s="1">
        <v>479</v>
      </c>
      <c r="K41" s="1">
        <v>244</v>
      </c>
      <c r="L41" s="1">
        <v>273</v>
      </c>
      <c r="M41" s="1">
        <f>323+217</f>
        <v>540</v>
      </c>
      <c r="N41" s="1">
        <v>0</v>
      </c>
      <c r="O41" s="1">
        <v>501</v>
      </c>
      <c r="P41" s="1"/>
    </row>
    <row r="42" spans="1:19" x14ac:dyDescent="0.3">
      <c r="A42" s="1" t="s">
        <v>64</v>
      </c>
      <c r="B42" s="1">
        <f>37668+6685</f>
        <v>44353</v>
      </c>
      <c r="C42" s="1">
        <f>11486</f>
        <v>11486</v>
      </c>
      <c r="D42" s="1">
        <v>6685</v>
      </c>
      <c r="E42" s="1">
        <v>26182</v>
      </c>
      <c r="F42" s="1">
        <f t="shared" si="3"/>
        <v>18171</v>
      </c>
      <c r="G42" s="14">
        <f t="shared" si="4"/>
        <v>3939.2942323794919</v>
      </c>
      <c r="H42" s="1">
        <v>450</v>
      </c>
      <c r="I42" s="4">
        <v>4939</v>
      </c>
      <c r="J42" s="1">
        <v>2352</v>
      </c>
      <c r="K42" s="1">
        <v>1563</v>
      </c>
      <c r="L42" s="1">
        <v>263</v>
      </c>
      <c r="M42" s="1">
        <f>700+340</f>
        <v>1040</v>
      </c>
      <c r="N42" s="1">
        <v>1329</v>
      </c>
      <c r="O42" s="1">
        <v>0</v>
      </c>
      <c r="P42" s="1"/>
      <c r="S42" t="s">
        <v>50</v>
      </c>
    </row>
    <row r="43" spans="1:19" x14ac:dyDescent="0.3">
      <c r="A43" s="1" t="s">
        <v>65</v>
      </c>
      <c r="B43" s="1">
        <v>11652</v>
      </c>
      <c r="C43" s="1">
        <f>6975+229</f>
        <v>7204</v>
      </c>
      <c r="D43" s="6"/>
      <c r="E43" s="1">
        <v>4448</v>
      </c>
      <c r="F43" s="1">
        <f t="shared" si="3"/>
        <v>7204</v>
      </c>
      <c r="G43" s="14">
        <f t="shared" si="4"/>
        <v>2122.6744123181657</v>
      </c>
      <c r="H43" s="1">
        <v>450</v>
      </c>
      <c r="I43" s="4">
        <v>1564</v>
      </c>
      <c r="J43" s="1">
        <v>1186</v>
      </c>
      <c r="K43" s="1">
        <v>343</v>
      </c>
      <c r="L43" s="1">
        <v>1453</v>
      </c>
      <c r="M43" s="1">
        <f>473+0</f>
        <v>473</v>
      </c>
      <c r="N43" s="1">
        <v>1053</v>
      </c>
      <c r="O43" s="1">
        <v>472</v>
      </c>
      <c r="P43" s="1"/>
    </row>
    <row r="44" spans="1:19" x14ac:dyDescent="0.3">
      <c r="A44" s="1"/>
      <c r="B44" s="1"/>
      <c r="C44" s="1"/>
      <c r="D44" s="1"/>
      <c r="E44" s="1"/>
      <c r="F44" s="1"/>
      <c r="G44" s="14"/>
      <c r="H44" s="1"/>
      <c r="I44" s="4"/>
      <c r="J44" s="1"/>
      <c r="K44" s="1"/>
      <c r="L44" s="1"/>
      <c r="M44" s="1"/>
      <c r="N44" s="1"/>
      <c r="O44" s="1"/>
      <c r="P44" s="1"/>
    </row>
    <row r="45" spans="1:19" x14ac:dyDescent="0.3">
      <c r="A45" s="1"/>
      <c r="B45" s="1"/>
      <c r="C45" s="1"/>
      <c r="D45" s="1"/>
      <c r="E45" s="1"/>
      <c r="F45" s="1"/>
      <c r="G45" s="14"/>
      <c r="H45" s="1"/>
      <c r="I45" s="4"/>
      <c r="J45" s="1"/>
      <c r="K45" s="1"/>
      <c r="L45" s="1"/>
      <c r="M45" s="1"/>
      <c r="N45" s="1"/>
      <c r="O45" s="1"/>
      <c r="P45" s="1"/>
    </row>
    <row r="46" spans="1:19" x14ac:dyDescent="0.3">
      <c r="A46" s="1"/>
      <c r="B46" s="1"/>
      <c r="C46" s="1"/>
      <c r="D46" s="1"/>
      <c r="E46" s="1"/>
      <c r="F46" s="1"/>
      <c r="G46" s="1"/>
      <c r="H46" s="1"/>
      <c r="I46" s="4"/>
      <c r="J46" s="1"/>
      <c r="K46" s="1"/>
      <c r="L46" s="1"/>
      <c r="M46" s="1"/>
      <c r="N46" s="1"/>
      <c r="O46" s="1"/>
      <c r="P46" s="1"/>
    </row>
    <row r="47" spans="1:19" x14ac:dyDescent="0.3">
      <c r="A47" s="1"/>
      <c r="B47" s="1"/>
      <c r="C47" s="1"/>
      <c r="D47" s="1"/>
      <c r="E47" s="1"/>
      <c r="F47" s="1"/>
      <c r="G47" s="1"/>
      <c r="H47" s="1"/>
      <c r="I47" s="4"/>
      <c r="J47" s="1"/>
      <c r="K47" s="1"/>
      <c r="L47" s="1"/>
      <c r="M47" s="1"/>
      <c r="N47" s="1"/>
      <c r="O47" s="1"/>
      <c r="P4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Conall DE PAOR</dc:creator>
  <cp:lastModifiedBy>Conall DE PAOR</cp:lastModifiedBy>
  <dcterms:created xsi:type="dcterms:W3CDTF">2025-05-29T22:23:43Z</dcterms:created>
  <dcterms:modified xsi:type="dcterms:W3CDTF">2025-07-21T17:19:04Z</dcterms:modified>
</cp:coreProperties>
</file>