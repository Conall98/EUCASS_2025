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79273F84-4652-4340-8799-6A1877340D86}" xr6:coauthVersionLast="47" xr6:coauthVersionMax="47" xr10:uidLastSave="{00000000-0000-0000-0000-000000000000}"/>
  <bookViews>
    <workbookView xWindow="28665" yWindow="-135" windowWidth="29070" windowHeight="15750" activeTab="1" xr2:uid="{DA27C19A-18DB-4E19-9AD3-8F88A97C8EE8}"/>
  </bookViews>
  <sheets>
    <sheet name="Feuil1" sheetId="2" r:id="rId1"/>
    <sheet name="Feuil1archive" sheetId="1" r:id="rId2"/>
  </sheets>
  <definedNames>
    <definedName name="_xlchart.v1.0" hidden="1">Feuil1archive!$Z$2:$Z$32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C41" i="1"/>
  <c r="P40" i="1"/>
  <c r="P39" i="1"/>
  <c r="P38" i="1"/>
  <c r="C38" i="1"/>
  <c r="P37" i="1"/>
  <c r="D37" i="1"/>
  <c r="P36" i="1"/>
  <c r="D36" i="1"/>
  <c r="B36" i="1"/>
  <c r="P35" i="1"/>
  <c r="C35" i="1"/>
  <c r="P34" i="1"/>
  <c r="C34" i="1"/>
  <c r="P33" i="1"/>
  <c r="D33" i="1"/>
  <c r="C33" i="1"/>
  <c r="P32" i="1"/>
  <c r="C32" i="1"/>
  <c r="P31" i="1"/>
  <c r="C31" i="1"/>
  <c r="P30" i="1"/>
  <c r="C30" i="1"/>
  <c r="R29" i="1"/>
  <c r="Q29" i="1"/>
  <c r="P29" i="1"/>
  <c r="O29" i="1"/>
  <c r="I29" i="1"/>
  <c r="H29" i="1"/>
  <c r="F29" i="1"/>
  <c r="G29" i="1"/>
  <c r="D29" i="1"/>
  <c r="C29" i="1"/>
  <c r="B29" i="1"/>
  <c r="P28" i="1"/>
  <c r="O28" i="1"/>
  <c r="C28" i="1"/>
  <c r="F28" i="1" s="1"/>
  <c r="B28" i="1"/>
  <c r="P27" i="1"/>
  <c r="O27" i="1"/>
  <c r="B27" i="1"/>
  <c r="D27" i="1"/>
  <c r="C27" i="1"/>
  <c r="F27" i="1" s="1"/>
  <c r="P26" i="1"/>
  <c r="C26" i="1"/>
  <c r="P25" i="1"/>
  <c r="C25" i="1"/>
  <c r="P24" i="1"/>
  <c r="C24" i="1"/>
  <c r="P23" i="1"/>
  <c r="C23" i="1"/>
  <c r="P22" i="1"/>
  <c r="C22" i="1"/>
  <c r="P21" i="1"/>
  <c r="Q21" i="1"/>
  <c r="O21" i="1"/>
  <c r="D22" i="1"/>
  <c r="C21" i="1"/>
  <c r="P20" i="1"/>
  <c r="C20" i="1"/>
  <c r="P19" i="1"/>
  <c r="C19" i="1"/>
  <c r="F19" i="1" s="1"/>
  <c r="P18" i="1"/>
  <c r="C18" i="1"/>
  <c r="F18" i="1" s="1"/>
  <c r="P17" i="1"/>
  <c r="D17" i="1"/>
  <c r="P16" i="1"/>
  <c r="D11" i="1"/>
  <c r="F11" i="1" s="1"/>
  <c r="D10" i="1"/>
  <c r="F10" i="1" s="1"/>
  <c r="F7" i="1"/>
  <c r="F15" i="1"/>
  <c r="F20" i="1"/>
  <c r="C15" i="1"/>
  <c r="P15" i="1"/>
  <c r="P14" i="1"/>
  <c r="R14" i="1" s="1"/>
  <c r="P13" i="1"/>
  <c r="Q13" i="1"/>
  <c r="O13" i="1"/>
  <c r="D13" i="1"/>
  <c r="F13" i="1" s="1"/>
  <c r="C13" i="1"/>
  <c r="P12" i="1"/>
  <c r="O11" i="1"/>
  <c r="P11" i="1"/>
  <c r="C11" i="1"/>
  <c r="P10" i="1"/>
  <c r="O10" i="1"/>
  <c r="C10" i="1"/>
  <c r="O9" i="1"/>
  <c r="P9" i="1"/>
  <c r="D9" i="1"/>
  <c r="C9" i="1"/>
  <c r="F9" i="1" s="1"/>
  <c r="D8" i="1"/>
  <c r="P8" i="1"/>
  <c r="O8" i="1"/>
  <c r="C8" i="1"/>
  <c r="F8" i="1" s="1"/>
  <c r="P6" i="1"/>
  <c r="C6" i="1"/>
  <c r="C3" i="1"/>
  <c r="E3" i="1"/>
  <c r="D3" i="1"/>
  <c r="K3" i="1"/>
  <c r="P2" i="1"/>
  <c r="R2" i="1" s="1"/>
  <c r="D2" i="1"/>
  <c r="R4" i="1"/>
  <c r="R5" i="1"/>
  <c r="R7" i="1"/>
  <c r="R6" i="1" l="1"/>
  <c r="R10" i="1"/>
  <c r="R3" i="1"/>
  <c r="R11" i="1"/>
  <c r="R9" i="1"/>
  <c r="R8" i="1"/>
  <c r="J2" i="2"/>
  <c r="K2" i="2"/>
  <c r="L2" i="2"/>
  <c r="J3" i="2"/>
  <c r="K3" i="2"/>
  <c r="L3" i="2"/>
  <c r="J4" i="2"/>
  <c r="K4" i="2"/>
  <c r="L4" i="2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J27" i="2"/>
  <c r="K27" i="2"/>
  <c r="L27" i="2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H12" i="2"/>
  <c r="H2" i="2"/>
  <c r="H3" i="2"/>
  <c r="H4" i="2"/>
  <c r="H5" i="2"/>
  <c r="H6" i="2"/>
  <c r="H7" i="2"/>
  <c r="H8" i="2"/>
  <c r="H9" i="2"/>
  <c r="H10" i="2"/>
  <c r="H11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O12" i="1"/>
  <c r="C12" i="1"/>
  <c r="F12" i="1" s="1"/>
  <c r="O42" i="1"/>
  <c r="C42" i="1"/>
  <c r="F42" i="1" s="1"/>
  <c r="B42" i="1"/>
  <c r="G42" i="1" s="1"/>
  <c r="O41" i="1"/>
  <c r="E41" i="1"/>
  <c r="B41" i="1"/>
  <c r="O40" i="1"/>
  <c r="G12" i="1"/>
  <c r="D40" i="1"/>
  <c r="C40" i="1"/>
  <c r="B40" i="1"/>
  <c r="G40" i="1" s="1"/>
  <c r="O39" i="1"/>
  <c r="E39" i="1"/>
  <c r="D39" i="1"/>
  <c r="C39" i="1"/>
  <c r="B39" i="1"/>
  <c r="G39" i="1" s="1"/>
  <c r="O38" i="1"/>
  <c r="K38" i="1"/>
  <c r="I3" i="2" s="1"/>
  <c r="E38" i="1"/>
  <c r="D38" i="1"/>
  <c r="B38" i="1"/>
  <c r="O37" i="1"/>
  <c r="E37" i="1"/>
  <c r="C37" i="1"/>
  <c r="B37" i="1"/>
  <c r="O36" i="1"/>
  <c r="E36" i="1"/>
  <c r="C36" i="1"/>
  <c r="O35" i="1"/>
  <c r="F35" i="1"/>
  <c r="B35" i="1"/>
  <c r="Q34" i="1"/>
  <c r="O34" i="1"/>
  <c r="D34" i="1"/>
  <c r="B34" i="1"/>
  <c r="G34" i="1" s="1"/>
  <c r="O33" i="1"/>
  <c r="B33" i="1"/>
  <c r="G33" i="1" s="1"/>
  <c r="O32" i="1"/>
  <c r="R32" i="1" s="1"/>
  <c r="E32" i="1"/>
  <c r="D32" i="1"/>
  <c r="B32" i="1"/>
  <c r="O31" i="1"/>
  <c r="F31" i="1"/>
  <c r="Q30" i="1"/>
  <c r="O30" i="1"/>
  <c r="G31" i="1"/>
  <c r="E30" i="1"/>
  <c r="D30" i="1"/>
  <c r="B30" i="1"/>
  <c r="G28" i="1"/>
  <c r="I28" i="1" s="1"/>
  <c r="O26" i="1"/>
  <c r="R26" i="1" s="1"/>
  <c r="B26" i="1"/>
  <c r="G26" i="1" s="1"/>
  <c r="O25" i="1"/>
  <c r="B25" i="1"/>
  <c r="F25" i="1" s="1"/>
  <c r="O24" i="1"/>
  <c r="D24" i="1"/>
  <c r="F24" i="1" s="1"/>
  <c r="B24" i="1"/>
  <c r="O23" i="1"/>
  <c r="E23" i="1"/>
  <c r="D23" i="1"/>
  <c r="F23" i="1" s="1"/>
  <c r="B23" i="1"/>
  <c r="Q22" i="1"/>
  <c r="O22" i="1"/>
  <c r="B22" i="1"/>
  <c r="F22" i="1" s="1"/>
  <c r="D21" i="1"/>
  <c r="F21" i="1" s="1"/>
  <c r="B21" i="1"/>
  <c r="G21" i="1" s="1"/>
  <c r="O20" i="1"/>
  <c r="G20" i="1"/>
  <c r="O19" i="1"/>
  <c r="G19" i="1"/>
  <c r="O18" i="1"/>
  <c r="G18" i="1"/>
  <c r="B16" i="1"/>
  <c r="G16" i="1" s="1"/>
  <c r="G15" i="1"/>
  <c r="B17" i="1"/>
  <c r="C17" i="1"/>
  <c r="F17" i="1" s="1"/>
  <c r="O17" i="1"/>
  <c r="O16" i="1"/>
  <c r="C16" i="1"/>
  <c r="D16" i="1"/>
  <c r="O15" i="1"/>
  <c r="B14" i="1"/>
  <c r="F14" i="1" s="1"/>
  <c r="F37" i="1" l="1"/>
  <c r="F39" i="1"/>
  <c r="F32" i="1"/>
  <c r="F30" i="1"/>
  <c r="F41" i="1"/>
  <c r="F38" i="1"/>
  <c r="F34" i="1"/>
  <c r="F33" i="1"/>
  <c r="F40" i="1"/>
  <c r="F36" i="1"/>
  <c r="F26" i="1"/>
  <c r="F16" i="1"/>
  <c r="D13" i="2"/>
  <c r="N34" i="2"/>
  <c r="N36" i="2"/>
  <c r="E39" i="2"/>
  <c r="R39" i="1"/>
  <c r="R37" i="1"/>
  <c r="R17" i="1"/>
  <c r="E17" i="2"/>
  <c r="R30" i="1"/>
  <c r="O8" i="2"/>
  <c r="C29" i="2"/>
  <c r="G41" i="1"/>
  <c r="H41" i="1" s="1"/>
  <c r="H19" i="1"/>
  <c r="I19" i="1"/>
  <c r="H20" i="1"/>
  <c r="I20" i="1"/>
  <c r="H26" i="1"/>
  <c r="I26" i="1"/>
  <c r="H33" i="1"/>
  <c r="I33" i="1"/>
  <c r="H40" i="1"/>
  <c r="I40" i="1"/>
  <c r="H39" i="1"/>
  <c r="I39" i="1"/>
  <c r="H42" i="1"/>
  <c r="I42" i="1"/>
  <c r="H31" i="1"/>
  <c r="I31" i="1"/>
  <c r="H18" i="1"/>
  <c r="I18" i="1"/>
  <c r="H21" i="1"/>
  <c r="I21" i="1"/>
  <c r="H12" i="1"/>
  <c r="I12" i="1"/>
  <c r="H15" i="1"/>
  <c r="I15" i="1"/>
  <c r="H34" i="1"/>
  <c r="I34" i="1"/>
  <c r="H16" i="1"/>
  <c r="I16" i="1"/>
  <c r="D32" i="2"/>
  <c r="M27" i="2"/>
  <c r="R28" i="1"/>
  <c r="N29" i="2"/>
  <c r="M23" i="2"/>
  <c r="R24" i="1"/>
  <c r="N32" i="2"/>
  <c r="C35" i="2"/>
  <c r="C37" i="2"/>
  <c r="C21" i="2"/>
  <c r="D35" i="2"/>
  <c r="M39" i="2"/>
  <c r="R41" i="1"/>
  <c r="M22" i="2"/>
  <c r="R23" i="1"/>
  <c r="M38" i="2"/>
  <c r="R40" i="1"/>
  <c r="C13" i="2"/>
  <c r="R13" i="1"/>
  <c r="C32" i="2"/>
  <c r="C14" i="2"/>
  <c r="D21" i="2"/>
  <c r="N17" i="2"/>
  <c r="D22" i="2"/>
  <c r="M18" i="2"/>
  <c r="R19" i="1"/>
  <c r="O32" i="2"/>
  <c r="D37" i="2"/>
  <c r="C15" i="2"/>
  <c r="C19" i="2"/>
  <c r="R22" i="1"/>
  <c r="E35" i="2"/>
  <c r="E37" i="2"/>
  <c r="M34" i="2"/>
  <c r="R36" i="1"/>
  <c r="M10" i="2"/>
  <c r="R15" i="1"/>
  <c r="M24" i="2"/>
  <c r="R25" i="1"/>
  <c r="C41" i="2"/>
  <c r="M36" i="2"/>
  <c r="C27" i="2"/>
  <c r="M17" i="2"/>
  <c r="R18" i="1"/>
  <c r="M32" i="2"/>
  <c r="R34" i="1"/>
  <c r="M15" i="2"/>
  <c r="R16" i="1"/>
  <c r="C33" i="2"/>
  <c r="M19" i="2"/>
  <c r="R20" i="1"/>
  <c r="C31" i="2"/>
  <c r="R12" i="1"/>
  <c r="M20" i="2"/>
  <c r="R21" i="1"/>
  <c r="C20" i="2"/>
  <c r="M29" i="2"/>
  <c r="R31" i="1"/>
  <c r="D23" i="2"/>
  <c r="C39" i="2"/>
  <c r="O5" i="2"/>
  <c r="R35" i="1"/>
  <c r="R42" i="1"/>
  <c r="D31" i="2"/>
  <c r="N11" i="2"/>
  <c r="M31" i="2"/>
  <c r="R33" i="1"/>
  <c r="D34" i="2"/>
  <c r="N3" i="2"/>
  <c r="M26" i="2"/>
  <c r="R27" i="1"/>
  <c r="O9" i="2"/>
  <c r="E24" i="2"/>
  <c r="I2" i="2"/>
  <c r="R38" i="1"/>
  <c r="I41" i="2"/>
  <c r="M37" i="2"/>
  <c r="O35" i="2"/>
  <c r="N30" i="2"/>
  <c r="I29" i="2"/>
  <c r="M25" i="2"/>
  <c r="O23" i="2"/>
  <c r="N18" i="2"/>
  <c r="I17" i="2"/>
  <c r="M13" i="2"/>
  <c r="O12" i="2"/>
  <c r="N8" i="2"/>
  <c r="I7" i="2"/>
  <c r="M3" i="2"/>
  <c r="O40" i="2"/>
  <c r="N35" i="2"/>
  <c r="I34" i="2"/>
  <c r="M30" i="2"/>
  <c r="O28" i="2"/>
  <c r="N23" i="2"/>
  <c r="I22" i="2"/>
  <c r="O16" i="2"/>
  <c r="N12" i="2"/>
  <c r="M8" i="2"/>
  <c r="O6" i="2"/>
  <c r="E10" i="2"/>
  <c r="E8" i="2"/>
  <c r="E6" i="2"/>
  <c r="E4" i="2"/>
  <c r="E2" i="2"/>
  <c r="N40" i="2"/>
  <c r="I39" i="2"/>
  <c r="M35" i="2"/>
  <c r="O33" i="2"/>
  <c r="N28" i="2"/>
  <c r="I27" i="2"/>
  <c r="O21" i="2"/>
  <c r="N16" i="2"/>
  <c r="I15" i="2"/>
  <c r="M12" i="2"/>
  <c r="O11" i="2"/>
  <c r="N6" i="2"/>
  <c r="I5" i="2"/>
  <c r="E30" i="2"/>
  <c r="E18" i="2"/>
  <c r="D8" i="2"/>
  <c r="O38" i="2"/>
  <c r="M16" i="2"/>
  <c r="O4" i="2"/>
  <c r="G22" i="1"/>
  <c r="I22" i="1" s="1"/>
  <c r="D30" i="2"/>
  <c r="D20" i="2"/>
  <c r="C10" i="2"/>
  <c r="N38" i="2"/>
  <c r="I13" i="2"/>
  <c r="C30" i="2"/>
  <c r="C16" i="2"/>
  <c r="O36" i="2"/>
  <c r="O24" i="2"/>
  <c r="O2" i="2"/>
  <c r="G24" i="1"/>
  <c r="I24" i="1" s="1"/>
  <c r="E26" i="2"/>
  <c r="D4" i="2"/>
  <c r="M40" i="2"/>
  <c r="N21" i="2"/>
  <c r="O14" i="2"/>
  <c r="I10" i="2"/>
  <c r="D16" i="2"/>
  <c r="O31" i="2"/>
  <c r="N26" i="2"/>
  <c r="M21" i="2"/>
  <c r="M11" i="2"/>
  <c r="C38" i="2"/>
  <c r="C22" i="2"/>
  <c r="N31" i="2"/>
  <c r="N19" i="2"/>
  <c r="I18" i="2"/>
  <c r="M14" i="2"/>
  <c r="N9" i="2"/>
  <c r="I8" i="2"/>
  <c r="M4" i="2"/>
  <c r="O41" i="2"/>
  <c r="I35" i="2"/>
  <c r="O29" i="2"/>
  <c r="N24" i="2"/>
  <c r="I23" i="2"/>
  <c r="O17" i="2"/>
  <c r="I12" i="2"/>
  <c r="M9" i="2"/>
  <c r="O7" i="2"/>
  <c r="N2" i="2"/>
  <c r="E38" i="2"/>
  <c r="E34" i="2"/>
  <c r="E22" i="2"/>
  <c r="E14" i="2"/>
  <c r="D6" i="2"/>
  <c r="N33" i="2"/>
  <c r="M28" i="2"/>
  <c r="D36" i="2"/>
  <c r="D24" i="2"/>
  <c r="D14" i="2"/>
  <c r="C6" i="2"/>
  <c r="C2" i="2"/>
  <c r="N14" i="2"/>
  <c r="N4" i="2"/>
  <c r="C40" i="2"/>
  <c r="C28" i="2"/>
  <c r="C24" i="2"/>
  <c r="N41" i="2"/>
  <c r="O22" i="2"/>
  <c r="N7" i="2"/>
  <c r="I6" i="2"/>
  <c r="M2" i="2"/>
  <c r="E36" i="2"/>
  <c r="E28" i="2"/>
  <c r="E16" i="2"/>
  <c r="D2" i="2"/>
  <c r="I32" i="2"/>
  <c r="D40" i="2"/>
  <c r="D28" i="2"/>
  <c r="D18" i="2"/>
  <c r="C4" i="2"/>
  <c r="I37" i="2"/>
  <c r="M33" i="2"/>
  <c r="I25" i="2"/>
  <c r="I30" i="2"/>
  <c r="I28" i="2"/>
  <c r="I16" i="2"/>
  <c r="E11" i="2"/>
  <c r="E5" i="2"/>
  <c r="O39" i="2"/>
  <c r="I21" i="2"/>
  <c r="I11" i="2"/>
  <c r="M7" i="2"/>
  <c r="E41" i="2"/>
  <c r="E33" i="2"/>
  <c r="E29" i="2"/>
  <c r="E25" i="2"/>
  <c r="E23" i="2"/>
  <c r="E21" i="2"/>
  <c r="E15" i="2"/>
  <c r="E13" i="2"/>
  <c r="D12" i="2"/>
  <c r="D11" i="2"/>
  <c r="D9" i="2"/>
  <c r="D7" i="2"/>
  <c r="D5" i="2"/>
  <c r="D3" i="2"/>
  <c r="N39" i="2"/>
  <c r="I38" i="2"/>
  <c r="N27" i="2"/>
  <c r="I26" i="2"/>
  <c r="O20" i="2"/>
  <c r="N15" i="2"/>
  <c r="I14" i="2"/>
  <c r="O10" i="2"/>
  <c r="N5" i="2"/>
  <c r="I4" i="2"/>
  <c r="E32" i="2"/>
  <c r="E20" i="2"/>
  <c r="D10" i="2"/>
  <c r="O26" i="2"/>
  <c r="I20" i="2"/>
  <c r="M6" i="2"/>
  <c r="D38" i="2"/>
  <c r="D26" i="2"/>
  <c r="O19" i="2"/>
  <c r="C34" i="2"/>
  <c r="E12" i="2"/>
  <c r="E7" i="2"/>
  <c r="M41" i="2"/>
  <c r="I33" i="2"/>
  <c r="O27" i="2"/>
  <c r="O15" i="2"/>
  <c r="G35" i="1"/>
  <c r="I35" i="1" s="1"/>
  <c r="E31" i="2"/>
  <c r="E19" i="2"/>
  <c r="D41" i="2"/>
  <c r="D39" i="2"/>
  <c r="D33" i="2"/>
  <c r="D29" i="2"/>
  <c r="D27" i="2"/>
  <c r="D25" i="2"/>
  <c r="D19" i="2"/>
  <c r="D17" i="2"/>
  <c r="D15" i="2"/>
  <c r="C12" i="2"/>
  <c r="C11" i="2"/>
  <c r="C9" i="2"/>
  <c r="C7" i="2"/>
  <c r="C5" i="2"/>
  <c r="C3" i="2"/>
  <c r="O37" i="2"/>
  <c r="I31" i="2"/>
  <c r="O25" i="2"/>
  <c r="N20" i="2"/>
  <c r="I19" i="2"/>
  <c r="O13" i="2"/>
  <c r="N10" i="2"/>
  <c r="I9" i="2"/>
  <c r="M5" i="2"/>
  <c r="O3" i="2"/>
  <c r="E40" i="2"/>
  <c r="C8" i="2"/>
  <c r="C36" i="2"/>
  <c r="C26" i="2"/>
  <c r="C18" i="2"/>
  <c r="I40" i="2"/>
  <c r="O34" i="2"/>
  <c r="E9" i="2"/>
  <c r="E3" i="2"/>
  <c r="N22" i="2"/>
  <c r="E27" i="2"/>
  <c r="C25" i="2"/>
  <c r="C23" i="2"/>
  <c r="C17" i="2"/>
  <c r="N37" i="2"/>
  <c r="I36" i="2"/>
  <c r="O30" i="2"/>
  <c r="N25" i="2"/>
  <c r="I24" i="2"/>
  <c r="O18" i="2"/>
  <c r="N13" i="2"/>
  <c r="G32" i="1"/>
  <c r="I32" i="1" s="1"/>
  <c r="G27" i="1"/>
  <c r="I27" i="1" s="1"/>
  <c r="G36" i="1"/>
  <c r="I36" i="1" s="1"/>
  <c r="G25" i="1"/>
  <c r="I25" i="1" s="1"/>
  <c r="H28" i="1"/>
  <c r="G17" i="1"/>
  <c r="I17" i="1" s="1"/>
  <c r="G38" i="1"/>
  <c r="I38" i="1" s="1"/>
  <c r="G14" i="1"/>
  <c r="G23" i="1"/>
  <c r="I23" i="1" s="1"/>
  <c r="G13" i="1"/>
  <c r="I13" i="1" s="1"/>
  <c r="G30" i="1"/>
  <c r="I30" i="1" s="1"/>
  <c r="G37" i="1"/>
  <c r="I37" i="1" s="1"/>
  <c r="I41" i="1" l="1"/>
  <c r="H30" i="1"/>
  <c r="H14" i="1"/>
  <c r="I14" i="1"/>
  <c r="H17" i="1"/>
  <c r="H35" i="1"/>
  <c r="H36" i="1"/>
  <c r="H22" i="1"/>
  <c r="H32" i="1"/>
  <c r="H38" i="1"/>
  <c r="H27" i="1"/>
  <c r="H37" i="1"/>
  <c r="H13" i="1"/>
  <c r="H24" i="1"/>
  <c r="H25" i="1"/>
  <c r="H23" i="1"/>
  <c r="B6" i="1"/>
  <c r="F6" i="1" s="1"/>
  <c r="B5" i="1"/>
  <c r="F5" i="1" s="1"/>
  <c r="B4" i="1"/>
  <c r="F4" i="1" s="1"/>
  <c r="B3" i="1"/>
  <c r="F3" i="1" s="1"/>
  <c r="B2" i="1"/>
  <c r="F2" i="1" s="1"/>
  <c r="T2" i="1"/>
  <c r="T5" i="1"/>
  <c r="T4" i="1"/>
  <c r="T13" i="1"/>
  <c r="G7" i="1" l="1"/>
  <c r="I7" i="1" s="1"/>
  <c r="B7" i="2"/>
  <c r="G8" i="1"/>
  <c r="I8" i="1" s="1"/>
  <c r="B8" i="2"/>
  <c r="G9" i="1"/>
  <c r="I9" i="1" s="1"/>
  <c r="B9" i="2"/>
  <c r="G6" i="1"/>
  <c r="I6" i="1" s="1"/>
  <c r="B6" i="2"/>
  <c r="G10" i="1"/>
  <c r="I10" i="1" s="1"/>
  <c r="B10" i="2"/>
  <c r="G11" i="1"/>
  <c r="I11" i="1" s="1"/>
  <c r="B11" i="2"/>
  <c r="B19" i="2"/>
  <c r="B34" i="2"/>
  <c r="B12" i="2"/>
  <c r="B25" i="2"/>
  <c r="B41" i="2"/>
  <c r="B17" i="2"/>
  <c r="B13" i="2"/>
  <c r="B38" i="2"/>
  <c r="B36" i="2"/>
  <c r="B14" i="2"/>
  <c r="B29" i="2"/>
  <c r="B26" i="2"/>
  <c r="B15" i="2"/>
  <c r="B16" i="2"/>
  <c r="B28" i="2"/>
  <c r="B40" i="2"/>
  <c r="B18" i="2"/>
  <c r="B30" i="2"/>
  <c r="B21" i="2"/>
  <c r="B35" i="2"/>
  <c r="B33" i="2"/>
  <c r="B22" i="2"/>
  <c r="B31" i="2"/>
  <c r="B27" i="2"/>
  <c r="B23" i="2"/>
  <c r="B37" i="2"/>
  <c r="B20" i="2"/>
  <c r="B39" i="2"/>
  <c r="B24" i="2"/>
  <c r="B32" i="2"/>
  <c r="G3" i="1"/>
  <c r="I3" i="1" s="1"/>
  <c r="B3" i="2"/>
  <c r="G4" i="1"/>
  <c r="I4" i="1" s="1"/>
  <c r="B4" i="2"/>
  <c r="G5" i="1"/>
  <c r="I5" i="1" s="1"/>
  <c r="B5" i="2"/>
  <c r="Z2" i="1" a="1"/>
  <c r="Z2" i="1" s="1"/>
  <c r="G2" i="1"/>
  <c r="I2" i="1" s="1"/>
  <c r="F5" i="2" l="1"/>
  <c r="F10" i="2"/>
  <c r="F6" i="2"/>
  <c r="F8" i="2"/>
  <c r="F4" i="2"/>
  <c r="F11" i="2"/>
  <c r="F3" i="2"/>
  <c r="F9" i="2"/>
  <c r="F29" i="2"/>
  <c r="F31" i="2"/>
  <c r="F15" i="2"/>
  <c r="F14" i="2"/>
  <c r="F20" i="2"/>
  <c r="F38" i="2"/>
  <c r="F2" i="2"/>
  <c r="F41" i="2"/>
  <c r="F39" i="2"/>
  <c r="F19" i="2"/>
  <c r="F32" i="2"/>
  <c r="F37" i="2"/>
  <c r="F27" i="2"/>
  <c r="F25" i="2"/>
  <c r="F17" i="2"/>
  <c r="F40" i="2"/>
  <c r="F18" i="2"/>
  <c r="F24" i="2"/>
  <c r="F30" i="2"/>
  <c r="F16" i="2"/>
  <c r="F36" i="2"/>
  <c r="F23" i="2"/>
  <c r="F33" i="2"/>
  <c r="F28" i="2"/>
  <c r="F21" i="2"/>
  <c r="F22" i="2"/>
  <c r="F26" i="2"/>
  <c r="F13" i="2"/>
  <c r="F34" i="2"/>
  <c r="F35" i="2"/>
  <c r="F12" i="2"/>
  <c r="F7" i="2"/>
  <c r="G25" i="2" l="1"/>
  <c r="G15" i="2"/>
  <c r="G31" i="2"/>
  <c r="G29" i="2"/>
  <c r="G3" i="2"/>
  <c r="G5" i="2"/>
  <c r="G7" i="2"/>
  <c r="G9" i="2"/>
  <c r="G11" i="2"/>
  <c r="G14" i="2"/>
  <c r="G20" i="2"/>
  <c r="G38" i="2"/>
  <c r="G2" i="2"/>
  <c r="G4" i="2"/>
  <c r="G6" i="2"/>
  <c r="G8" i="2"/>
  <c r="G10" i="2"/>
  <c r="G37" i="2"/>
  <c r="G19" i="2"/>
  <c r="G40" i="2"/>
  <c r="G41" i="2"/>
  <c r="G17" i="2"/>
  <c r="G39" i="2"/>
  <c r="G18" i="2"/>
  <c r="G32" i="2"/>
  <c r="G13" i="2"/>
  <c r="G27" i="2"/>
  <c r="G28" i="2"/>
  <c r="G36" i="2"/>
  <c r="G33" i="2"/>
  <c r="G16" i="2"/>
  <c r="G26" i="2"/>
  <c r="G23" i="2"/>
  <c r="G34" i="2"/>
  <c r="G24" i="2"/>
  <c r="G12" i="2"/>
  <c r="G30" i="2"/>
  <c r="G35" i="2"/>
  <c r="G21" i="2"/>
  <c r="G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8A9123FB-E3D6-4A34-A108-3BA4AC23ABC7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68F0C63D-DF5B-4F7C-A433-F6BC069B182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  <comment ref="D15" authorId="0" shapeId="0" xr:uid="{59233B27-AB74-4EA2-9C72-49825D1BBBD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manned lander. Mp is likely larger</t>
        </r>
      </text>
    </comment>
    <comment ref="D18" authorId="0" shapeId="0" xr:uid="{A7107323-4976-4282-B86F-EB1EE697645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19" authorId="0" shapeId="0" xr:uid="{99029FF4-DCFB-4E49-9E24-2C7989E09CF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20" authorId="0" shapeId="0" xr:uid="{CF6F50D8-E438-476A-86E5-E2ED16A7EC0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31" authorId="0" shapeId="0" xr:uid="{CCAF9CDB-692C-443A-B111-F66E54508DD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41" authorId="0" shapeId="0" xr:uid="{16C703EF-47F8-4606-993F-60F2BE349F5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listed cargo mass. Real payload capacity is likely higher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<sst xmlns="http://schemas.openxmlformats.org/spreadsheetml/2006/main" count="130" uniqueCount="70">
  <si>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</si>
  <si>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</si>
  <si>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</si>
  <si>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</si>
  <si>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</si>
  <si>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</si>
  <si>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</si>
  <si>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</si>
  <si>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</si>
  <si>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</si>
  <si>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</si>
  <si>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</si>
  <si>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</si>
  <si>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</si>
  <si>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</si>
  <si>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</si>
  <si>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</si>
  <si>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</si>
  <si>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</si>
  <si>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</si>
  <si>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</si>
  <si>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</si>
  <si>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</si>
  <si>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0610-LAT-1</t>
  </si>
  <si>
    <t>kW</t>
  </si>
  <si>
    <t>kWh</t>
  </si>
  <si>
    <t>mt</t>
  </si>
  <si>
    <t>notes</t>
  </si>
  <si>
    <t>0503-CE&amp;R-3</t>
  </si>
  <si>
    <t>heat rejection</t>
  </si>
  <si>
    <t>0503-CE&amp;R-6</t>
  </si>
  <si>
    <t>0507-ESAS-A</t>
  </si>
  <si>
    <t>0507-ESAS-B</t>
  </si>
  <si>
    <t>minert</t>
  </si>
  <si>
    <t>descent stage also performs LOI</t>
  </si>
  <si>
    <t>reusable</t>
  </si>
  <si>
    <t>0507-ESAS-C</t>
  </si>
  <si>
    <t>0507-ESAS-E</t>
  </si>
  <si>
    <t>0507-ESAS-G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</si>
  <si>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</si>
  <si>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</si>
  <si>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</si>
  <si>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</si>
  <si>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</si>
  <si>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</si>
  <si>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</si>
  <si>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</si>
  <si>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</si>
  <si>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</si>
  <si>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</si>
  <si>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0605-LLPS-LaRC-3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</si>
  <si>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</si>
  <si>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</si>
  <si>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</si>
  <si>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</si>
  <si>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</si>
  <si>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</si>
  <si>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</si>
  <si>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</si>
  <si>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</si>
  <si>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</si>
  <si>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0609-LLPS-GSFC</t>
  </si>
  <si>
    <t>0609-LLPS-JSC-sortie</t>
  </si>
  <si>
    <t>0609-LLPS-GRC-phase</t>
  </si>
  <si>
    <t>delta</t>
  </si>
  <si>
    <t>dv_check</t>
  </si>
  <si>
    <t>0609-LLPS-GRC-phase II</t>
  </si>
  <si>
    <t>0610-LAT-3</t>
  </si>
  <si>
    <t>md_check</t>
  </si>
  <si>
    <t>0605-LLPS-LaRC-1i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</si>
</sst>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" fontId="0" fillId="0" borderId="0" xfId="0" applyNumberFormat="1" applyFill="1" applyBorder="1" applyAlignment="1">
      <alignment horizontal="center"/>
    </xf>
    <xf numFmtId="1" fontId="0" fillId="2" borderId="0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Feuil1archive!$C$2:$C$42</c:f>
              <c:numCache>
                <c:formatCode>General</c:formatCode>
                <c:ptCount val="41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7204</c:v>
                </c:pt>
                <c:pt idx="11">
                  <c:v>8775</c:v>
                </c:pt>
                <c:pt idx="12">
                  <c:v>6692</c:v>
                </c:pt>
                <c:pt idx="13">
                  <c:v>6226</c:v>
                </c:pt>
                <c:pt idx="14">
                  <c:v>7655</c:v>
                </c:pt>
                <c:pt idx="15">
                  <c:v>9874</c:v>
                </c:pt>
                <c:pt idx="16">
                  <c:v>11508</c:v>
                </c:pt>
                <c:pt idx="17">
                  <c:v>11334</c:v>
                </c:pt>
                <c:pt idx="18">
                  <c:v>9167</c:v>
                </c:pt>
                <c:pt idx="19">
                  <c:v>5472</c:v>
                </c:pt>
                <c:pt idx="20">
                  <c:v>7684</c:v>
                </c:pt>
                <c:pt idx="21">
                  <c:v>3106</c:v>
                </c:pt>
                <c:pt idx="22">
                  <c:v>4532</c:v>
                </c:pt>
                <c:pt idx="23">
                  <c:v>3106</c:v>
                </c:pt>
                <c:pt idx="24">
                  <c:v>4532</c:v>
                </c:pt>
                <c:pt idx="25">
                  <c:v>3106</c:v>
                </c:pt>
                <c:pt idx="26">
                  <c:v>5492</c:v>
                </c:pt>
                <c:pt idx="27">
                  <c:v>5492</c:v>
                </c:pt>
                <c:pt idx="28">
                  <c:v>6630</c:v>
                </c:pt>
                <c:pt idx="29">
                  <c:v>11856</c:v>
                </c:pt>
                <c:pt idx="30">
                  <c:v>10447</c:v>
                </c:pt>
                <c:pt idx="31">
                  <c:v>10615</c:v>
                </c:pt>
                <c:pt idx="32">
                  <c:v>10337</c:v>
                </c:pt>
                <c:pt idx="33">
                  <c:v>8272</c:v>
                </c:pt>
                <c:pt idx="34">
                  <c:v>15331</c:v>
                </c:pt>
                <c:pt idx="35">
                  <c:v>15119</c:v>
                </c:pt>
                <c:pt idx="36">
                  <c:v>16020</c:v>
                </c:pt>
                <c:pt idx="37">
                  <c:v>11020</c:v>
                </c:pt>
                <c:pt idx="38">
                  <c:v>10426</c:v>
                </c:pt>
                <c:pt idx="39">
                  <c:v>3087</c:v>
                </c:pt>
                <c:pt idx="40">
                  <c:v>11486</c:v>
                </c:pt>
              </c:numCache>
            </c:numRef>
          </c:xVal>
          <c:yVal>
            <c:numRef>
              <c:f>Feuil1archive!$K$2:$K$42</c:f>
              <c:numCache>
                <c:formatCode>General</c:formatCode>
                <c:ptCount val="41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1564</c:v>
                </c:pt>
                <c:pt idx="11">
                  <c:v>535</c:v>
                </c:pt>
                <c:pt idx="12">
                  <c:v>3757</c:v>
                </c:pt>
                <c:pt idx="13">
                  <c:v>2441</c:v>
                </c:pt>
                <c:pt idx="14">
                  <c:v>1113</c:v>
                </c:pt>
                <c:pt idx="15">
                  <c:v>2432</c:v>
                </c:pt>
                <c:pt idx="16">
                  <c:v>2015</c:v>
                </c:pt>
                <c:pt idx="17">
                  <c:v>1985</c:v>
                </c:pt>
                <c:pt idx="18">
                  <c:v>1877</c:v>
                </c:pt>
                <c:pt idx="19">
                  <c:v>1011</c:v>
                </c:pt>
                <c:pt idx="20">
                  <c:v>1355</c:v>
                </c:pt>
                <c:pt idx="21">
                  <c:v>451</c:v>
                </c:pt>
                <c:pt idx="22">
                  <c:v>717</c:v>
                </c:pt>
                <c:pt idx="23">
                  <c:v>451</c:v>
                </c:pt>
                <c:pt idx="24">
                  <c:v>717</c:v>
                </c:pt>
                <c:pt idx="25">
                  <c:v>451</c:v>
                </c:pt>
                <c:pt idx="26">
                  <c:v>1017</c:v>
                </c:pt>
                <c:pt idx="27">
                  <c:v>1017</c:v>
                </c:pt>
                <c:pt idx="28">
                  <c:v>1150</c:v>
                </c:pt>
                <c:pt idx="29">
                  <c:v>2464</c:v>
                </c:pt>
                <c:pt idx="30">
                  <c:v>1932</c:v>
                </c:pt>
                <c:pt idx="31">
                  <c:v>2203</c:v>
                </c:pt>
                <c:pt idx="32">
                  <c:v>2289</c:v>
                </c:pt>
                <c:pt idx="33">
                  <c:v>1113</c:v>
                </c:pt>
                <c:pt idx="34">
                  <c:v>4545</c:v>
                </c:pt>
                <c:pt idx="35">
                  <c:v>4430</c:v>
                </c:pt>
                <c:pt idx="36">
                  <c:v>6565</c:v>
                </c:pt>
                <c:pt idx="37">
                  <c:v>1856</c:v>
                </c:pt>
                <c:pt idx="38">
                  <c:v>1638</c:v>
                </c:pt>
                <c:pt idx="39">
                  <c:v>1050</c:v>
                </c:pt>
                <c:pt idx="40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1EE-98CA-EC8048E85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4920642208353693"/>
                  <c:y val="-0.42155402449693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Feuil1archive!$C$2:$C$42</c:f>
              <c:numCache>
                <c:formatCode>General</c:formatCode>
                <c:ptCount val="41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7204</c:v>
                </c:pt>
                <c:pt idx="11">
                  <c:v>8775</c:v>
                </c:pt>
                <c:pt idx="12">
                  <c:v>6692</c:v>
                </c:pt>
                <c:pt idx="13">
                  <c:v>6226</c:v>
                </c:pt>
                <c:pt idx="14">
                  <c:v>7655</c:v>
                </c:pt>
                <c:pt idx="15">
                  <c:v>9874</c:v>
                </c:pt>
                <c:pt idx="16">
                  <c:v>11508</c:v>
                </c:pt>
                <c:pt idx="17">
                  <c:v>11334</c:v>
                </c:pt>
                <c:pt idx="18">
                  <c:v>9167</c:v>
                </c:pt>
                <c:pt idx="19">
                  <c:v>5472</c:v>
                </c:pt>
                <c:pt idx="20">
                  <c:v>7684</c:v>
                </c:pt>
                <c:pt idx="21">
                  <c:v>3106</c:v>
                </c:pt>
                <c:pt idx="22">
                  <c:v>4532</c:v>
                </c:pt>
                <c:pt idx="23">
                  <c:v>3106</c:v>
                </c:pt>
                <c:pt idx="24">
                  <c:v>4532</c:v>
                </c:pt>
                <c:pt idx="25">
                  <c:v>3106</c:v>
                </c:pt>
                <c:pt idx="26">
                  <c:v>5492</c:v>
                </c:pt>
                <c:pt idx="27">
                  <c:v>5492</c:v>
                </c:pt>
                <c:pt idx="28">
                  <c:v>6630</c:v>
                </c:pt>
                <c:pt idx="29">
                  <c:v>11856</c:v>
                </c:pt>
                <c:pt idx="30">
                  <c:v>10447</c:v>
                </c:pt>
                <c:pt idx="31">
                  <c:v>10615</c:v>
                </c:pt>
                <c:pt idx="32">
                  <c:v>10337</c:v>
                </c:pt>
                <c:pt idx="33">
                  <c:v>8272</c:v>
                </c:pt>
                <c:pt idx="34">
                  <c:v>15331</c:v>
                </c:pt>
                <c:pt idx="35">
                  <c:v>15119</c:v>
                </c:pt>
                <c:pt idx="36">
                  <c:v>16020</c:v>
                </c:pt>
                <c:pt idx="37">
                  <c:v>11020</c:v>
                </c:pt>
                <c:pt idx="38">
                  <c:v>10426</c:v>
                </c:pt>
                <c:pt idx="39">
                  <c:v>3087</c:v>
                </c:pt>
                <c:pt idx="40">
                  <c:v>11486</c:v>
                </c:pt>
              </c:numCache>
            </c:numRef>
          </c:xVal>
          <c:yVal>
            <c:numRef>
              <c:f>Feuil1archive!$K$2:$K$42</c:f>
              <c:numCache>
                <c:formatCode>General</c:formatCode>
                <c:ptCount val="41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1564</c:v>
                </c:pt>
                <c:pt idx="11">
                  <c:v>535</c:v>
                </c:pt>
                <c:pt idx="12">
                  <c:v>3757</c:v>
                </c:pt>
                <c:pt idx="13">
                  <c:v>2441</c:v>
                </c:pt>
                <c:pt idx="14">
                  <c:v>1113</c:v>
                </c:pt>
                <c:pt idx="15">
                  <c:v>2432</c:v>
                </c:pt>
                <c:pt idx="16">
                  <c:v>2015</c:v>
                </c:pt>
                <c:pt idx="17">
                  <c:v>1985</c:v>
                </c:pt>
                <c:pt idx="18">
                  <c:v>1877</c:v>
                </c:pt>
                <c:pt idx="19">
                  <c:v>1011</c:v>
                </c:pt>
                <c:pt idx="20">
                  <c:v>1355</c:v>
                </c:pt>
                <c:pt idx="21">
                  <c:v>451</c:v>
                </c:pt>
                <c:pt idx="22">
                  <c:v>717</c:v>
                </c:pt>
                <c:pt idx="23">
                  <c:v>451</c:v>
                </c:pt>
                <c:pt idx="24">
                  <c:v>717</c:v>
                </c:pt>
                <c:pt idx="25">
                  <c:v>451</c:v>
                </c:pt>
                <c:pt idx="26">
                  <c:v>1017</c:v>
                </c:pt>
                <c:pt idx="27">
                  <c:v>1017</c:v>
                </c:pt>
                <c:pt idx="28">
                  <c:v>1150</c:v>
                </c:pt>
                <c:pt idx="29">
                  <c:v>2464</c:v>
                </c:pt>
                <c:pt idx="30">
                  <c:v>1932</c:v>
                </c:pt>
                <c:pt idx="31">
                  <c:v>2203</c:v>
                </c:pt>
                <c:pt idx="32">
                  <c:v>2289</c:v>
                </c:pt>
                <c:pt idx="33">
                  <c:v>1113</c:v>
                </c:pt>
                <c:pt idx="34">
                  <c:v>4545</c:v>
                </c:pt>
                <c:pt idx="35">
                  <c:v>4430</c:v>
                </c:pt>
                <c:pt idx="36">
                  <c:v>6565</c:v>
                </c:pt>
                <c:pt idx="37">
                  <c:v>1856</c:v>
                </c:pt>
                <c:pt idx="38">
                  <c:v>1638</c:v>
                </c:pt>
                <c:pt idx="39">
                  <c:v>1050</c:v>
                </c:pt>
                <c:pt idx="40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1-4DE5-8FD8-7688BA42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800838504020904E-2"/>
          <c:y val="0.1667360701770004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6586614719807255"/>
                  <c:y val="-0.521528328764324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Feuil1archive!$G$2:$G$42</c:f>
              <c:numCache>
                <c:formatCode>General</c:formatCode>
                <c:ptCount val="41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7204</c:v>
                </c:pt>
                <c:pt idx="11">
                  <c:v>29637</c:v>
                </c:pt>
                <c:pt idx="12">
                  <c:v>25017</c:v>
                </c:pt>
                <c:pt idx="13">
                  <c:v>7008</c:v>
                </c:pt>
                <c:pt idx="14">
                  <c:v>20757</c:v>
                </c:pt>
                <c:pt idx="15">
                  <c:v>52142</c:v>
                </c:pt>
                <c:pt idx="16">
                  <c:v>12008</c:v>
                </c:pt>
                <c:pt idx="17">
                  <c:v>11834</c:v>
                </c:pt>
                <c:pt idx="18">
                  <c:v>9667</c:v>
                </c:pt>
                <c:pt idx="19">
                  <c:v>14817</c:v>
                </c:pt>
                <c:pt idx="20">
                  <c:v>17086</c:v>
                </c:pt>
                <c:pt idx="21">
                  <c:v>12433</c:v>
                </c:pt>
                <c:pt idx="22">
                  <c:v>13789</c:v>
                </c:pt>
                <c:pt idx="23">
                  <c:v>12706</c:v>
                </c:pt>
                <c:pt idx="24">
                  <c:v>13845</c:v>
                </c:pt>
                <c:pt idx="25">
                  <c:v>12706</c:v>
                </c:pt>
                <c:pt idx="26">
                  <c:v>19943</c:v>
                </c:pt>
                <c:pt idx="27">
                  <c:v>19726</c:v>
                </c:pt>
                <c:pt idx="28">
                  <c:v>12680</c:v>
                </c:pt>
                <c:pt idx="29">
                  <c:v>12356</c:v>
                </c:pt>
                <c:pt idx="30">
                  <c:v>20294</c:v>
                </c:pt>
                <c:pt idx="31">
                  <c:v>20295</c:v>
                </c:pt>
                <c:pt idx="32">
                  <c:v>20293</c:v>
                </c:pt>
                <c:pt idx="33">
                  <c:v>27272</c:v>
                </c:pt>
                <c:pt idx="34">
                  <c:v>21929</c:v>
                </c:pt>
                <c:pt idx="35">
                  <c:v>21929</c:v>
                </c:pt>
                <c:pt idx="36">
                  <c:v>21962</c:v>
                </c:pt>
                <c:pt idx="37">
                  <c:v>21928</c:v>
                </c:pt>
                <c:pt idx="38">
                  <c:v>21929</c:v>
                </c:pt>
                <c:pt idx="39">
                  <c:v>3567</c:v>
                </c:pt>
                <c:pt idx="40">
                  <c:v>18171</c:v>
                </c:pt>
              </c:numCache>
            </c:numRef>
          </c:xVal>
          <c:yVal>
            <c:numRef>
              <c:f>Feuil1archive!$N$2:$N$42</c:f>
              <c:numCache>
                <c:formatCode>General</c:formatCode>
                <c:ptCount val="41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818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1453</c:v>
                </c:pt>
                <c:pt idx="11">
                  <c:v>731</c:v>
                </c:pt>
                <c:pt idx="12">
                  <c:v>200</c:v>
                </c:pt>
                <c:pt idx="13">
                  <c:v>65</c:v>
                </c:pt>
                <c:pt idx="14">
                  <c:v>69</c:v>
                </c:pt>
                <c:pt idx="15">
                  <c:v>145</c:v>
                </c:pt>
                <c:pt idx="16">
                  <c:v>594</c:v>
                </c:pt>
                <c:pt idx="17">
                  <c:v>594</c:v>
                </c:pt>
                <c:pt idx="18">
                  <c:v>594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69</c:v>
                </c:pt>
                <c:pt idx="25">
                  <c:v>69</c:v>
                </c:pt>
                <c:pt idx="26">
                  <c:v>69</c:v>
                </c:pt>
                <c:pt idx="27">
                  <c:v>69</c:v>
                </c:pt>
                <c:pt idx="28">
                  <c:v>80</c:v>
                </c:pt>
                <c:pt idx="29">
                  <c:v>594</c:v>
                </c:pt>
                <c:pt idx="30">
                  <c:v>306</c:v>
                </c:pt>
                <c:pt idx="31">
                  <c:v>306</c:v>
                </c:pt>
                <c:pt idx="32">
                  <c:v>354</c:v>
                </c:pt>
                <c:pt idx="33">
                  <c:v>69</c:v>
                </c:pt>
                <c:pt idx="34">
                  <c:v>441</c:v>
                </c:pt>
                <c:pt idx="35">
                  <c:v>441</c:v>
                </c:pt>
                <c:pt idx="36">
                  <c:v>441</c:v>
                </c:pt>
                <c:pt idx="37">
                  <c:v>441</c:v>
                </c:pt>
                <c:pt idx="38">
                  <c:v>441</c:v>
                </c:pt>
                <c:pt idx="39">
                  <c:v>273</c:v>
                </c:pt>
                <c:pt idx="40">
                  <c:v>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B0-47EC-ABF6-2D351079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487114651433963"/>
                  <c:y val="-0.45219399622236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Feuil1archive!$C$2:$C$42</c:f>
              <c:numCache>
                <c:formatCode>General</c:formatCode>
                <c:ptCount val="41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7204</c:v>
                </c:pt>
                <c:pt idx="11">
                  <c:v>8775</c:v>
                </c:pt>
                <c:pt idx="12">
                  <c:v>6692</c:v>
                </c:pt>
                <c:pt idx="13">
                  <c:v>6226</c:v>
                </c:pt>
                <c:pt idx="14">
                  <c:v>7655</c:v>
                </c:pt>
                <c:pt idx="15">
                  <c:v>9874</c:v>
                </c:pt>
                <c:pt idx="16">
                  <c:v>11508</c:v>
                </c:pt>
                <c:pt idx="17">
                  <c:v>11334</c:v>
                </c:pt>
                <c:pt idx="18">
                  <c:v>9167</c:v>
                </c:pt>
                <c:pt idx="19">
                  <c:v>5472</c:v>
                </c:pt>
                <c:pt idx="20">
                  <c:v>7684</c:v>
                </c:pt>
                <c:pt idx="21">
                  <c:v>3106</c:v>
                </c:pt>
                <c:pt idx="22">
                  <c:v>4532</c:v>
                </c:pt>
                <c:pt idx="23">
                  <c:v>3106</c:v>
                </c:pt>
                <c:pt idx="24">
                  <c:v>4532</c:v>
                </c:pt>
                <c:pt idx="25">
                  <c:v>3106</c:v>
                </c:pt>
                <c:pt idx="26">
                  <c:v>5492</c:v>
                </c:pt>
                <c:pt idx="27">
                  <c:v>5492</c:v>
                </c:pt>
                <c:pt idx="28">
                  <c:v>6630</c:v>
                </c:pt>
                <c:pt idx="29">
                  <c:v>11856</c:v>
                </c:pt>
                <c:pt idx="30">
                  <c:v>10447</c:v>
                </c:pt>
                <c:pt idx="31">
                  <c:v>10615</c:v>
                </c:pt>
                <c:pt idx="32">
                  <c:v>10337</c:v>
                </c:pt>
                <c:pt idx="33">
                  <c:v>8272</c:v>
                </c:pt>
                <c:pt idx="34">
                  <c:v>15331</c:v>
                </c:pt>
                <c:pt idx="35">
                  <c:v>15119</c:v>
                </c:pt>
                <c:pt idx="36">
                  <c:v>16020</c:v>
                </c:pt>
                <c:pt idx="37">
                  <c:v>11020</c:v>
                </c:pt>
                <c:pt idx="38">
                  <c:v>10426</c:v>
                </c:pt>
                <c:pt idx="39">
                  <c:v>3087</c:v>
                </c:pt>
                <c:pt idx="40">
                  <c:v>11486</c:v>
                </c:pt>
              </c:numCache>
            </c:numRef>
          </c:xVal>
          <c:yVal>
            <c:numRef>
              <c:f>Feuil1archive!$M$2:$M$42</c:f>
              <c:numCache>
                <c:formatCode>General</c:formatCode>
                <c:ptCount val="41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343</c:v>
                </c:pt>
                <c:pt idx="11">
                  <c:v>909</c:v>
                </c:pt>
                <c:pt idx="12">
                  <c:v>400</c:v>
                </c:pt>
                <c:pt idx="13">
                  <c:v>741</c:v>
                </c:pt>
                <c:pt idx="14">
                  <c:v>468</c:v>
                </c:pt>
                <c:pt idx="15">
                  <c:v>336</c:v>
                </c:pt>
                <c:pt idx="16">
                  <c:v>553</c:v>
                </c:pt>
                <c:pt idx="17">
                  <c:v>553</c:v>
                </c:pt>
                <c:pt idx="18">
                  <c:v>553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306</c:v>
                </c:pt>
                <c:pt idx="24">
                  <c:v>306</c:v>
                </c:pt>
                <c:pt idx="25">
                  <c:v>306</c:v>
                </c:pt>
                <c:pt idx="26">
                  <c:v>306</c:v>
                </c:pt>
                <c:pt idx="27">
                  <c:v>306</c:v>
                </c:pt>
                <c:pt idx="28">
                  <c:v>630</c:v>
                </c:pt>
                <c:pt idx="29">
                  <c:v>553</c:v>
                </c:pt>
                <c:pt idx="30">
                  <c:v>468</c:v>
                </c:pt>
                <c:pt idx="31">
                  <c:v>468</c:v>
                </c:pt>
                <c:pt idx="32">
                  <c:v>468</c:v>
                </c:pt>
                <c:pt idx="33">
                  <c:v>468</c:v>
                </c:pt>
                <c:pt idx="34">
                  <c:v>934</c:v>
                </c:pt>
                <c:pt idx="35">
                  <c:v>934</c:v>
                </c:pt>
                <c:pt idx="36">
                  <c:v>934</c:v>
                </c:pt>
                <c:pt idx="37">
                  <c:v>934</c:v>
                </c:pt>
                <c:pt idx="38">
                  <c:v>934</c:v>
                </c:pt>
                <c:pt idx="39">
                  <c:v>244</c:v>
                </c:pt>
                <c:pt idx="40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9-4513-BADE-A00B7930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PRPL(mprop)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Feuil1archive!$E$2:$E$42</c:f>
              <c:numCache>
                <c:formatCode>General</c:formatCode>
                <c:ptCount val="41"/>
                <c:pt idx="0">
                  <c:v>8527</c:v>
                </c:pt>
                <c:pt idx="1">
                  <c:v>3364.6000000000004</c:v>
                </c:pt>
                <c:pt idx="2">
                  <c:v>25252</c:v>
                </c:pt>
                <c:pt idx="3">
                  <c:v>36399</c:v>
                </c:pt>
                <c:pt idx="4">
                  <c:v>44151</c:v>
                </c:pt>
                <c:pt idx="5">
                  <c:v>22502</c:v>
                </c:pt>
                <c:pt idx="6">
                  <c:v>25486</c:v>
                </c:pt>
                <c:pt idx="7">
                  <c:v>23833</c:v>
                </c:pt>
                <c:pt idx="8">
                  <c:v>19152</c:v>
                </c:pt>
                <c:pt idx="9">
                  <c:v>18312</c:v>
                </c:pt>
                <c:pt idx="10">
                  <c:v>4448</c:v>
                </c:pt>
                <c:pt idx="11">
                  <c:v>23963</c:v>
                </c:pt>
                <c:pt idx="12">
                  <c:v>29580</c:v>
                </c:pt>
                <c:pt idx="13">
                  <c:v>20013</c:v>
                </c:pt>
                <c:pt idx="14">
                  <c:v>25105</c:v>
                </c:pt>
                <c:pt idx="15">
                  <c:v>29769</c:v>
                </c:pt>
                <c:pt idx="16">
                  <c:v>25486</c:v>
                </c:pt>
                <c:pt idx="17">
                  <c:v>23833</c:v>
                </c:pt>
                <c:pt idx="18">
                  <c:v>19152</c:v>
                </c:pt>
                <c:pt idx="19">
                  <c:v>27442</c:v>
                </c:pt>
                <c:pt idx="20">
                  <c:v>24744</c:v>
                </c:pt>
                <c:pt idx="21">
                  <c:v>10458</c:v>
                </c:pt>
                <c:pt idx="22">
                  <c:v>9350</c:v>
                </c:pt>
                <c:pt idx="23">
                  <c:v>10458</c:v>
                </c:pt>
                <c:pt idx="24">
                  <c:v>9350</c:v>
                </c:pt>
                <c:pt idx="25">
                  <c:v>10458</c:v>
                </c:pt>
                <c:pt idx="26">
                  <c:v>27575</c:v>
                </c:pt>
                <c:pt idx="27">
                  <c:v>27575</c:v>
                </c:pt>
                <c:pt idx="28">
                  <c:v>6900</c:v>
                </c:pt>
                <c:pt idx="29">
                  <c:v>25492</c:v>
                </c:pt>
                <c:pt idx="30">
                  <c:v>24706</c:v>
                </c:pt>
                <c:pt idx="31">
                  <c:v>24706</c:v>
                </c:pt>
                <c:pt idx="32">
                  <c:v>24706</c:v>
                </c:pt>
                <c:pt idx="33">
                  <c:v>26371</c:v>
                </c:pt>
                <c:pt idx="34">
                  <c:v>28043</c:v>
                </c:pt>
                <c:pt idx="35">
                  <c:v>28043</c:v>
                </c:pt>
                <c:pt idx="36">
                  <c:v>28043</c:v>
                </c:pt>
                <c:pt idx="37">
                  <c:v>28043</c:v>
                </c:pt>
                <c:pt idx="38">
                  <c:v>28043</c:v>
                </c:pt>
                <c:pt idx="39">
                  <c:v>3345</c:v>
                </c:pt>
                <c:pt idx="40">
                  <c:v>26182</c:v>
                </c:pt>
              </c:numCache>
            </c:numRef>
          </c:xVal>
          <c:yVal>
            <c:numRef>
              <c:f>Feuil1archive!$L$2:$L$42</c:f>
              <c:numCache>
                <c:formatCode>General</c:formatCode>
                <c:ptCount val="41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1186</c:v>
                </c:pt>
                <c:pt idx="11">
                  <c:v>3006</c:v>
                </c:pt>
                <c:pt idx="12">
                  <c:v>1219</c:v>
                </c:pt>
                <c:pt idx="13">
                  <c:v>983</c:v>
                </c:pt>
                <c:pt idx="14">
                  <c:v>2362</c:v>
                </c:pt>
                <c:pt idx="15">
                  <c:v>1826</c:v>
                </c:pt>
                <c:pt idx="16">
                  <c:v>2425</c:v>
                </c:pt>
                <c:pt idx="17">
                  <c:v>2347</c:v>
                </c:pt>
                <c:pt idx="18">
                  <c:v>1125</c:v>
                </c:pt>
                <c:pt idx="19">
                  <c:v>1616</c:v>
                </c:pt>
                <c:pt idx="20">
                  <c:v>2013</c:v>
                </c:pt>
                <c:pt idx="21">
                  <c:v>677</c:v>
                </c:pt>
                <c:pt idx="22">
                  <c:v>955</c:v>
                </c:pt>
                <c:pt idx="23">
                  <c:v>677</c:v>
                </c:pt>
                <c:pt idx="24">
                  <c:v>955</c:v>
                </c:pt>
                <c:pt idx="25">
                  <c:v>677</c:v>
                </c:pt>
                <c:pt idx="26">
                  <c:v>1624</c:v>
                </c:pt>
                <c:pt idx="27">
                  <c:v>1624</c:v>
                </c:pt>
                <c:pt idx="28">
                  <c:v>750</c:v>
                </c:pt>
                <c:pt idx="29">
                  <c:v>2422</c:v>
                </c:pt>
                <c:pt idx="30">
                  <c:v>2239</c:v>
                </c:pt>
                <c:pt idx="31">
                  <c:v>2239</c:v>
                </c:pt>
                <c:pt idx="32">
                  <c:v>2239</c:v>
                </c:pt>
                <c:pt idx="33">
                  <c:v>2362</c:v>
                </c:pt>
                <c:pt idx="34">
                  <c:v>3111</c:v>
                </c:pt>
                <c:pt idx="35">
                  <c:v>3182</c:v>
                </c:pt>
                <c:pt idx="36">
                  <c:v>2889</c:v>
                </c:pt>
                <c:pt idx="37">
                  <c:v>2578</c:v>
                </c:pt>
                <c:pt idx="38">
                  <c:v>2601</c:v>
                </c:pt>
                <c:pt idx="39">
                  <c:v>479</c:v>
                </c:pt>
                <c:pt idx="40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F-4E93-8E17-36753B156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Feuil1archive!$B$2:$B$42</c:f>
              <c:numCache>
                <c:formatCode>General</c:formatCode>
                <c:ptCount val="41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11652</c:v>
                </c:pt>
                <c:pt idx="11">
                  <c:v>53600</c:v>
                </c:pt>
                <c:pt idx="12">
                  <c:v>54597</c:v>
                </c:pt>
                <c:pt idx="13">
                  <c:v>27021</c:v>
                </c:pt>
                <c:pt idx="14">
                  <c:v>45862</c:v>
                </c:pt>
                <c:pt idx="15">
                  <c:v>81911</c:v>
                </c:pt>
                <c:pt idx="16">
                  <c:v>37494</c:v>
                </c:pt>
                <c:pt idx="17">
                  <c:v>35667</c:v>
                </c:pt>
                <c:pt idx="18">
                  <c:v>28819</c:v>
                </c:pt>
                <c:pt idx="19">
                  <c:v>42259</c:v>
                </c:pt>
                <c:pt idx="20">
                  <c:v>41830</c:v>
                </c:pt>
                <c:pt idx="21">
                  <c:v>22891</c:v>
                </c:pt>
                <c:pt idx="22">
                  <c:v>23139</c:v>
                </c:pt>
                <c:pt idx="23">
                  <c:v>23164</c:v>
                </c:pt>
                <c:pt idx="24">
                  <c:v>23195</c:v>
                </c:pt>
                <c:pt idx="25">
                  <c:v>23164</c:v>
                </c:pt>
                <c:pt idx="26">
                  <c:v>47518</c:v>
                </c:pt>
                <c:pt idx="27">
                  <c:v>47301</c:v>
                </c:pt>
                <c:pt idx="28">
                  <c:v>19580</c:v>
                </c:pt>
                <c:pt idx="29">
                  <c:v>37848</c:v>
                </c:pt>
                <c:pt idx="30">
                  <c:v>45000</c:v>
                </c:pt>
                <c:pt idx="31">
                  <c:v>45001</c:v>
                </c:pt>
                <c:pt idx="32">
                  <c:v>44999</c:v>
                </c:pt>
                <c:pt idx="33">
                  <c:v>53643</c:v>
                </c:pt>
                <c:pt idx="34">
                  <c:v>49972</c:v>
                </c:pt>
                <c:pt idx="35">
                  <c:v>49972</c:v>
                </c:pt>
                <c:pt idx="36">
                  <c:v>50005</c:v>
                </c:pt>
                <c:pt idx="37">
                  <c:v>49971</c:v>
                </c:pt>
                <c:pt idx="38">
                  <c:v>49972</c:v>
                </c:pt>
                <c:pt idx="39">
                  <c:v>6912</c:v>
                </c:pt>
                <c:pt idx="40">
                  <c:v>44353</c:v>
                </c:pt>
              </c:numCache>
            </c:numRef>
          </c:xVal>
          <c:yVal>
            <c:numRef>
              <c:f>Feuil1archive!$L$2:$L$42</c:f>
              <c:numCache>
                <c:formatCode>General</c:formatCode>
                <c:ptCount val="41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1186</c:v>
                </c:pt>
                <c:pt idx="11">
                  <c:v>3006</c:v>
                </c:pt>
                <c:pt idx="12">
                  <c:v>1219</c:v>
                </c:pt>
                <c:pt idx="13">
                  <c:v>983</c:v>
                </c:pt>
                <c:pt idx="14">
                  <c:v>2362</c:v>
                </c:pt>
                <c:pt idx="15">
                  <c:v>1826</c:v>
                </c:pt>
                <c:pt idx="16">
                  <c:v>2425</c:v>
                </c:pt>
                <c:pt idx="17">
                  <c:v>2347</c:v>
                </c:pt>
                <c:pt idx="18">
                  <c:v>1125</c:v>
                </c:pt>
                <c:pt idx="19">
                  <c:v>1616</c:v>
                </c:pt>
                <c:pt idx="20">
                  <c:v>2013</c:v>
                </c:pt>
                <c:pt idx="21">
                  <c:v>677</c:v>
                </c:pt>
                <c:pt idx="22">
                  <c:v>955</c:v>
                </c:pt>
                <c:pt idx="23">
                  <c:v>677</c:v>
                </c:pt>
                <c:pt idx="24">
                  <c:v>955</c:v>
                </c:pt>
                <c:pt idx="25">
                  <c:v>677</c:v>
                </c:pt>
                <c:pt idx="26">
                  <c:v>1624</c:v>
                </c:pt>
                <c:pt idx="27">
                  <c:v>1624</c:v>
                </c:pt>
                <c:pt idx="28">
                  <c:v>750</c:v>
                </c:pt>
                <c:pt idx="29">
                  <c:v>2422</c:v>
                </c:pt>
                <c:pt idx="30">
                  <c:v>2239</c:v>
                </c:pt>
                <c:pt idx="31">
                  <c:v>2239</c:v>
                </c:pt>
                <c:pt idx="32">
                  <c:v>2239</c:v>
                </c:pt>
                <c:pt idx="33">
                  <c:v>2362</c:v>
                </c:pt>
                <c:pt idx="34">
                  <c:v>3111</c:v>
                </c:pt>
                <c:pt idx="35">
                  <c:v>3182</c:v>
                </c:pt>
                <c:pt idx="36">
                  <c:v>2889</c:v>
                </c:pt>
                <c:pt idx="37">
                  <c:v>2578</c:v>
                </c:pt>
                <c:pt idx="38">
                  <c:v>2601</c:v>
                </c:pt>
                <c:pt idx="39">
                  <c:v>479</c:v>
                </c:pt>
                <c:pt idx="40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4-4182-9169-217DF28A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Feuil1archive!$B$2:$B$42</c:f>
              <c:strCache>
                <c:ptCount val="41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11652</c:v>
                </c:pt>
                <c:pt idx="11">
                  <c:v>53600</c:v>
                </c:pt>
                <c:pt idx="12">
                  <c:v>54597</c:v>
                </c:pt>
                <c:pt idx="13">
                  <c:v>27021</c:v>
                </c:pt>
                <c:pt idx="14">
                  <c:v>45862</c:v>
                </c:pt>
                <c:pt idx="15">
                  <c:v>81911</c:v>
                </c:pt>
                <c:pt idx="16">
                  <c:v>37494</c:v>
                </c:pt>
                <c:pt idx="17">
                  <c:v>35667</c:v>
                </c:pt>
                <c:pt idx="18">
                  <c:v>28819</c:v>
                </c:pt>
                <c:pt idx="19">
                  <c:v>42259</c:v>
                </c:pt>
                <c:pt idx="20">
                  <c:v>41830</c:v>
                </c:pt>
                <c:pt idx="21">
                  <c:v>22891</c:v>
                </c:pt>
                <c:pt idx="22">
                  <c:v>23139</c:v>
                </c:pt>
                <c:pt idx="23">
                  <c:v>23164</c:v>
                </c:pt>
                <c:pt idx="24">
                  <c:v>23195</c:v>
                </c:pt>
                <c:pt idx="25">
                  <c:v>23164</c:v>
                </c:pt>
                <c:pt idx="26">
                  <c:v>47518</c:v>
                </c:pt>
                <c:pt idx="27">
                  <c:v>47301</c:v>
                </c:pt>
                <c:pt idx="28">
                  <c:v>19580</c:v>
                </c:pt>
                <c:pt idx="29">
                  <c:v>37848</c:v>
                </c:pt>
                <c:pt idx="30">
                  <c:v>45000</c:v>
                </c:pt>
                <c:pt idx="31">
                  <c:v>45001</c:v>
                </c:pt>
                <c:pt idx="32">
                  <c:v>44999</c:v>
                </c:pt>
                <c:pt idx="33">
                  <c:v>53643</c:v>
                </c:pt>
                <c:pt idx="34">
                  <c:v>49972</c:v>
                </c:pt>
                <c:pt idx="35">
                  <c:v>49972</c:v>
                </c:pt>
                <c:pt idx="36">
                  <c:v>50005</c:v>
                </c:pt>
                <c:pt idx="37">
                  <c:v>49971</c:v>
                </c:pt>
                <c:pt idx="38">
                  <c:v>49972</c:v>
                </c:pt>
                <c:pt idx="39">
                  <c:v>6912</c:v>
                </c:pt>
                <c:pt idx="40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Feuil1archive!$G$2:$G$42</c:f>
              <c:numCache>
                <c:formatCode>General</c:formatCode>
                <c:ptCount val="41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7204</c:v>
                </c:pt>
                <c:pt idx="11">
                  <c:v>29637</c:v>
                </c:pt>
                <c:pt idx="12">
                  <c:v>25017</c:v>
                </c:pt>
                <c:pt idx="13">
                  <c:v>7008</c:v>
                </c:pt>
                <c:pt idx="14">
                  <c:v>20757</c:v>
                </c:pt>
                <c:pt idx="15">
                  <c:v>52142</c:v>
                </c:pt>
                <c:pt idx="16">
                  <c:v>12008</c:v>
                </c:pt>
                <c:pt idx="17">
                  <c:v>11834</c:v>
                </c:pt>
                <c:pt idx="18">
                  <c:v>9667</c:v>
                </c:pt>
                <c:pt idx="19">
                  <c:v>14817</c:v>
                </c:pt>
                <c:pt idx="20">
                  <c:v>17086</c:v>
                </c:pt>
                <c:pt idx="21">
                  <c:v>12433</c:v>
                </c:pt>
                <c:pt idx="22">
                  <c:v>13789</c:v>
                </c:pt>
                <c:pt idx="23">
                  <c:v>12706</c:v>
                </c:pt>
                <c:pt idx="24">
                  <c:v>13845</c:v>
                </c:pt>
                <c:pt idx="25">
                  <c:v>12706</c:v>
                </c:pt>
                <c:pt idx="26">
                  <c:v>19943</c:v>
                </c:pt>
                <c:pt idx="27">
                  <c:v>19726</c:v>
                </c:pt>
                <c:pt idx="28">
                  <c:v>12680</c:v>
                </c:pt>
                <c:pt idx="29">
                  <c:v>12356</c:v>
                </c:pt>
                <c:pt idx="30">
                  <c:v>20294</c:v>
                </c:pt>
                <c:pt idx="31">
                  <c:v>20295</c:v>
                </c:pt>
                <c:pt idx="32">
                  <c:v>20293</c:v>
                </c:pt>
                <c:pt idx="33">
                  <c:v>27272</c:v>
                </c:pt>
                <c:pt idx="34">
                  <c:v>21929</c:v>
                </c:pt>
                <c:pt idx="35">
                  <c:v>21929</c:v>
                </c:pt>
                <c:pt idx="36">
                  <c:v>21962</c:v>
                </c:pt>
                <c:pt idx="37">
                  <c:v>21928</c:v>
                </c:pt>
                <c:pt idx="38">
                  <c:v>21929</c:v>
                </c:pt>
                <c:pt idx="39">
                  <c:v>3567</c:v>
                </c:pt>
                <c:pt idx="40">
                  <c:v>18171</c:v>
                </c:pt>
              </c:numCache>
            </c:numRef>
          </c:xVal>
          <c:yVal>
            <c:numRef>
              <c:f>Feuil1archive!$O$2:$O$42</c:f>
              <c:numCache>
                <c:formatCode>General</c:formatCode>
                <c:ptCount val="41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0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473</c:v>
                </c:pt>
                <c:pt idx="11">
                  <c:v>832</c:v>
                </c:pt>
                <c:pt idx="12">
                  <c:v>0</c:v>
                </c:pt>
                <c:pt idx="13">
                  <c:v>621</c:v>
                </c:pt>
                <c:pt idx="14">
                  <c:v>369</c:v>
                </c:pt>
                <c:pt idx="15">
                  <c:v>1168</c:v>
                </c:pt>
                <c:pt idx="16">
                  <c:v>1072</c:v>
                </c:pt>
                <c:pt idx="17">
                  <c:v>1066</c:v>
                </c:pt>
                <c:pt idx="18">
                  <c:v>1049</c:v>
                </c:pt>
                <c:pt idx="19">
                  <c:v>286</c:v>
                </c:pt>
                <c:pt idx="20">
                  <c:v>265</c:v>
                </c:pt>
                <c:pt idx="21">
                  <c:v>210</c:v>
                </c:pt>
                <c:pt idx="22">
                  <c:v>219</c:v>
                </c:pt>
                <c:pt idx="23">
                  <c:v>210</c:v>
                </c:pt>
                <c:pt idx="24">
                  <c:v>219</c:v>
                </c:pt>
                <c:pt idx="25">
                  <c:v>210</c:v>
                </c:pt>
                <c:pt idx="26">
                  <c:v>286</c:v>
                </c:pt>
                <c:pt idx="27">
                  <c:v>286</c:v>
                </c:pt>
                <c:pt idx="28">
                  <c:v>800</c:v>
                </c:pt>
                <c:pt idx="29">
                  <c:v>883</c:v>
                </c:pt>
                <c:pt idx="30">
                  <c:v>1207</c:v>
                </c:pt>
                <c:pt idx="31">
                  <c:v>1192</c:v>
                </c:pt>
                <c:pt idx="32">
                  <c:v>1192</c:v>
                </c:pt>
                <c:pt idx="33">
                  <c:v>369</c:v>
                </c:pt>
                <c:pt idx="34">
                  <c:v>336</c:v>
                </c:pt>
                <c:pt idx="35">
                  <c:v>336</c:v>
                </c:pt>
                <c:pt idx="36">
                  <c:v>336</c:v>
                </c:pt>
                <c:pt idx="37">
                  <c:v>336</c:v>
                </c:pt>
                <c:pt idx="38">
                  <c:v>336</c:v>
                </c:pt>
                <c:pt idx="39">
                  <c:v>540</c:v>
                </c:pt>
                <c:pt idx="40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A-449C-AD28-33C29CBD0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Feuil1archive!$B$2:$B$42</c:f>
              <c:strCache>
                <c:ptCount val="41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11652</c:v>
                </c:pt>
                <c:pt idx="11">
                  <c:v>53600</c:v>
                </c:pt>
                <c:pt idx="12">
                  <c:v>54597</c:v>
                </c:pt>
                <c:pt idx="13">
                  <c:v>27021</c:v>
                </c:pt>
                <c:pt idx="14">
                  <c:v>45862</c:v>
                </c:pt>
                <c:pt idx="15">
                  <c:v>81911</c:v>
                </c:pt>
                <c:pt idx="16">
                  <c:v>37494</c:v>
                </c:pt>
                <c:pt idx="17">
                  <c:v>35667</c:v>
                </c:pt>
                <c:pt idx="18">
                  <c:v>28819</c:v>
                </c:pt>
                <c:pt idx="19">
                  <c:v>42259</c:v>
                </c:pt>
                <c:pt idx="20">
                  <c:v>41830</c:v>
                </c:pt>
                <c:pt idx="21">
                  <c:v>22891</c:v>
                </c:pt>
                <c:pt idx="22">
                  <c:v>23139</c:v>
                </c:pt>
                <c:pt idx="23">
                  <c:v>23164</c:v>
                </c:pt>
                <c:pt idx="24">
                  <c:v>23195</c:v>
                </c:pt>
                <c:pt idx="25">
                  <c:v>23164</c:v>
                </c:pt>
                <c:pt idx="26">
                  <c:v>47518</c:v>
                </c:pt>
                <c:pt idx="27">
                  <c:v>47301</c:v>
                </c:pt>
                <c:pt idx="28">
                  <c:v>19580</c:v>
                </c:pt>
                <c:pt idx="29">
                  <c:v>37848</c:v>
                </c:pt>
                <c:pt idx="30">
                  <c:v>45000</c:v>
                </c:pt>
                <c:pt idx="31">
                  <c:v>45001</c:v>
                </c:pt>
                <c:pt idx="32">
                  <c:v>44999</c:v>
                </c:pt>
                <c:pt idx="33">
                  <c:v>53643</c:v>
                </c:pt>
                <c:pt idx="34">
                  <c:v>49972</c:v>
                </c:pt>
                <c:pt idx="35">
                  <c:v>49972</c:v>
                </c:pt>
                <c:pt idx="36">
                  <c:v>50005</c:v>
                </c:pt>
                <c:pt idx="37">
                  <c:v>49971</c:v>
                </c:pt>
                <c:pt idx="38">
                  <c:v>49972</c:v>
                </c:pt>
                <c:pt idx="39">
                  <c:v>6912</c:v>
                </c:pt>
                <c:pt idx="40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Feuil1archive!$B$2:$B$42</c:f>
              <c:numCache>
                <c:formatCode>General</c:formatCode>
                <c:ptCount val="41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11652</c:v>
                </c:pt>
                <c:pt idx="11">
                  <c:v>53600</c:v>
                </c:pt>
                <c:pt idx="12">
                  <c:v>54597</c:v>
                </c:pt>
                <c:pt idx="13">
                  <c:v>27021</c:v>
                </c:pt>
                <c:pt idx="14">
                  <c:v>45862</c:v>
                </c:pt>
                <c:pt idx="15">
                  <c:v>81911</c:v>
                </c:pt>
                <c:pt idx="16">
                  <c:v>37494</c:v>
                </c:pt>
                <c:pt idx="17">
                  <c:v>35667</c:v>
                </c:pt>
                <c:pt idx="18">
                  <c:v>28819</c:v>
                </c:pt>
                <c:pt idx="19">
                  <c:v>42259</c:v>
                </c:pt>
                <c:pt idx="20">
                  <c:v>41830</c:v>
                </c:pt>
                <c:pt idx="21">
                  <c:v>22891</c:v>
                </c:pt>
                <c:pt idx="22">
                  <c:v>23139</c:v>
                </c:pt>
                <c:pt idx="23">
                  <c:v>23164</c:v>
                </c:pt>
                <c:pt idx="24">
                  <c:v>23195</c:v>
                </c:pt>
                <c:pt idx="25">
                  <c:v>23164</c:v>
                </c:pt>
                <c:pt idx="26">
                  <c:v>47518</c:v>
                </c:pt>
                <c:pt idx="27">
                  <c:v>47301</c:v>
                </c:pt>
                <c:pt idx="28">
                  <c:v>19580</c:v>
                </c:pt>
                <c:pt idx="29">
                  <c:v>37848</c:v>
                </c:pt>
                <c:pt idx="30">
                  <c:v>45000</c:v>
                </c:pt>
                <c:pt idx="31">
                  <c:v>45001</c:v>
                </c:pt>
                <c:pt idx="32">
                  <c:v>44999</c:v>
                </c:pt>
                <c:pt idx="33">
                  <c:v>53643</c:v>
                </c:pt>
                <c:pt idx="34">
                  <c:v>49972</c:v>
                </c:pt>
                <c:pt idx="35">
                  <c:v>49972</c:v>
                </c:pt>
                <c:pt idx="36">
                  <c:v>50005</c:v>
                </c:pt>
                <c:pt idx="37">
                  <c:v>49971</c:v>
                </c:pt>
                <c:pt idx="38">
                  <c:v>49972</c:v>
                </c:pt>
                <c:pt idx="39">
                  <c:v>6912</c:v>
                </c:pt>
                <c:pt idx="40">
                  <c:v>44353</c:v>
                </c:pt>
              </c:numCache>
            </c:numRef>
          </c:xVal>
          <c:yVal>
            <c:numRef>
              <c:f>Feuil1archive!$O$2:$O$42</c:f>
              <c:numCache>
                <c:formatCode>General</c:formatCode>
                <c:ptCount val="41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0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473</c:v>
                </c:pt>
                <c:pt idx="11">
                  <c:v>832</c:v>
                </c:pt>
                <c:pt idx="12">
                  <c:v>0</c:v>
                </c:pt>
                <c:pt idx="13">
                  <c:v>621</c:v>
                </c:pt>
                <c:pt idx="14">
                  <c:v>369</c:v>
                </c:pt>
                <c:pt idx="15">
                  <c:v>1168</c:v>
                </c:pt>
                <c:pt idx="16">
                  <c:v>1072</c:v>
                </c:pt>
                <c:pt idx="17">
                  <c:v>1066</c:v>
                </c:pt>
                <c:pt idx="18">
                  <c:v>1049</c:v>
                </c:pt>
                <c:pt idx="19">
                  <c:v>286</c:v>
                </c:pt>
                <c:pt idx="20">
                  <c:v>265</c:v>
                </c:pt>
                <c:pt idx="21">
                  <c:v>210</c:v>
                </c:pt>
                <c:pt idx="22">
                  <c:v>219</c:v>
                </c:pt>
                <c:pt idx="23">
                  <c:v>210</c:v>
                </c:pt>
                <c:pt idx="24">
                  <c:v>219</c:v>
                </c:pt>
                <c:pt idx="25">
                  <c:v>210</c:v>
                </c:pt>
                <c:pt idx="26">
                  <c:v>286</c:v>
                </c:pt>
                <c:pt idx="27">
                  <c:v>286</c:v>
                </c:pt>
                <c:pt idx="28">
                  <c:v>800</c:v>
                </c:pt>
                <c:pt idx="29">
                  <c:v>883</c:v>
                </c:pt>
                <c:pt idx="30">
                  <c:v>1207</c:v>
                </c:pt>
                <c:pt idx="31">
                  <c:v>1192</c:v>
                </c:pt>
                <c:pt idx="32">
                  <c:v>1192</c:v>
                </c:pt>
                <c:pt idx="33">
                  <c:v>369</c:v>
                </c:pt>
                <c:pt idx="34">
                  <c:v>336</c:v>
                </c:pt>
                <c:pt idx="35">
                  <c:v>336</c:v>
                </c:pt>
                <c:pt idx="36">
                  <c:v>336</c:v>
                </c:pt>
                <c:pt idx="37">
                  <c:v>336</c:v>
                </c:pt>
                <c:pt idx="38">
                  <c:v>336</c:v>
                </c:pt>
                <c:pt idx="39">
                  <c:v>540</c:v>
                </c:pt>
                <c:pt idx="40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1-4128-A65F-A03ABF09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Feuil1archive!$P$2:$P$41</c:f>
              <c:strCache>
                <c:ptCount val="40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1713</c:v>
                </c:pt>
                <c:pt idx="11">
                  <c:v>1426</c:v>
                </c:pt>
                <c:pt idx="12">
                  <c:v>1116</c:v>
                </c:pt>
                <c:pt idx="13">
                  <c:v>672</c:v>
                </c:pt>
                <c:pt idx="14">
                  <c:v>2251</c:v>
                </c:pt>
                <c:pt idx="15">
                  <c:v>2429</c:v>
                </c:pt>
                <c:pt idx="16">
                  <c:v>3341</c:v>
                </c:pt>
                <c:pt idx="17">
                  <c:v>3306</c:v>
                </c:pt>
                <c:pt idx="18">
                  <c:v>2775</c:v>
                </c:pt>
                <c:pt idx="19">
                  <c:v>1397</c:v>
                </c:pt>
                <c:pt idx="20">
                  <c:v>2739</c:v>
                </c:pt>
                <c:pt idx="21">
                  <c:v>933</c:v>
                </c:pt>
                <c:pt idx="22">
                  <c:v>1692</c:v>
                </c:pt>
                <c:pt idx="23">
                  <c:v>933</c:v>
                </c:pt>
                <c:pt idx="24">
                  <c:v>1692</c:v>
                </c:pt>
                <c:pt idx="25">
                  <c:v>933</c:v>
                </c:pt>
                <c:pt idx="26">
                  <c:v>1400</c:v>
                </c:pt>
                <c:pt idx="27">
                  <c:v>1400</c:v>
                </c:pt>
                <c:pt idx="28">
                  <c:v>2380</c:v>
                </c:pt>
                <c:pt idx="29">
                  <c:v>3379</c:v>
                </c:pt>
                <c:pt idx="30">
                  <c:v>2918</c:v>
                </c:pt>
                <c:pt idx="31">
                  <c:v>2769</c:v>
                </c:pt>
                <c:pt idx="32">
                  <c:v>2417</c:v>
                </c:pt>
                <c:pt idx="33">
                  <c:v>2251</c:v>
                </c:pt>
                <c:pt idx="34">
                  <c:v>4100</c:v>
                </c:pt>
                <c:pt idx="35">
                  <c:v>4100</c:v>
                </c:pt>
                <c:pt idx="36">
                  <c:v>2891</c:v>
                </c:pt>
                <c:pt idx="37">
                  <c:v>3595</c:v>
                </c:pt>
                <c:pt idx="38">
                  <c:v>3279</c:v>
                </c:pt>
                <c:pt idx="39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7499275801227199"/>
                  <c:y val="-0.175854078085107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Feuil1archive!$C$2:$C$42</c:f>
              <c:numCache>
                <c:formatCode>General</c:formatCode>
                <c:ptCount val="41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7204</c:v>
                </c:pt>
                <c:pt idx="11">
                  <c:v>8775</c:v>
                </c:pt>
                <c:pt idx="12">
                  <c:v>6692</c:v>
                </c:pt>
                <c:pt idx="13">
                  <c:v>6226</c:v>
                </c:pt>
                <c:pt idx="14">
                  <c:v>7655</c:v>
                </c:pt>
                <c:pt idx="15">
                  <c:v>9874</c:v>
                </c:pt>
                <c:pt idx="16">
                  <c:v>11508</c:v>
                </c:pt>
                <c:pt idx="17">
                  <c:v>11334</c:v>
                </c:pt>
                <c:pt idx="18">
                  <c:v>9167</c:v>
                </c:pt>
                <c:pt idx="19">
                  <c:v>5472</c:v>
                </c:pt>
                <c:pt idx="20">
                  <c:v>7684</c:v>
                </c:pt>
                <c:pt idx="21">
                  <c:v>3106</c:v>
                </c:pt>
                <c:pt idx="22">
                  <c:v>4532</c:v>
                </c:pt>
                <c:pt idx="23">
                  <c:v>3106</c:v>
                </c:pt>
                <c:pt idx="24">
                  <c:v>4532</c:v>
                </c:pt>
                <c:pt idx="25">
                  <c:v>3106</c:v>
                </c:pt>
                <c:pt idx="26">
                  <c:v>5492</c:v>
                </c:pt>
                <c:pt idx="27">
                  <c:v>5492</c:v>
                </c:pt>
                <c:pt idx="28">
                  <c:v>6630</c:v>
                </c:pt>
                <c:pt idx="29">
                  <c:v>11856</c:v>
                </c:pt>
                <c:pt idx="30">
                  <c:v>10447</c:v>
                </c:pt>
                <c:pt idx="31">
                  <c:v>10615</c:v>
                </c:pt>
                <c:pt idx="32">
                  <c:v>10337</c:v>
                </c:pt>
                <c:pt idx="33">
                  <c:v>8272</c:v>
                </c:pt>
                <c:pt idx="34">
                  <c:v>15331</c:v>
                </c:pt>
                <c:pt idx="35">
                  <c:v>15119</c:v>
                </c:pt>
                <c:pt idx="36">
                  <c:v>16020</c:v>
                </c:pt>
                <c:pt idx="37">
                  <c:v>11020</c:v>
                </c:pt>
                <c:pt idx="38">
                  <c:v>10426</c:v>
                </c:pt>
                <c:pt idx="39">
                  <c:v>3087</c:v>
                </c:pt>
                <c:pt idx="40">
                  <c:v>11486</c:v>
                </c:pt>
              </c:numCache>
            </c:numRef>
          </c:xVal>
          <c:yVal>
            <c:numRef>
              <c:f>Feuil1archive!$P$2:$P$42</c:f>
              <c:numCache>
                <c:formatCode>General</c:formatCode>
                <c:ptCount val="41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1713</c:v>
                </c:pt>
                <c:pt idx="11">
                  <c:v>1426</c:v>
                </c:pt>
                <c:pt idx="12">
                  <c:v>1116</c:v>
                </c:pt>
                <c:pt idx="13">
                  <c:v>672</c:v>
                </c:pt>
                <c:pt idx="14">
                  <c:v>2251</c:v>
                </c:pt>
                <c:pt idx="15">
                  <c:v>2429</c:v>
                </c:pt>
                <c:pt idx="16">
                  <c:v>3341</c:v>
                </c:pt>
                <c:pt idx="17">
                  <c:v>3306</c:v>
                </c:pt>
                <c:pt idx="18">
                  <c:v>2775</c:v>
                </c:pt>
                <c:pt idx="19">
                  <c:v>1397</c:v>
                </c:pt>
                <c:pt idx="20">
                  <c:v>2739</c:v>
                </c:pt>
                <c:pt idx="21">
                  <c:v>933</c:v>
                </c:pt>
                <c:pt idx="22">
                  <c:v>1692</c:v>
                </c:pt>
                <c:pt idx="23">
                  <c:v>933</c:v>
                </c:pt>
                <c:pt idx="24">
                  <c:v>1692</c:v>
                </c:pt>
                <c:pt idx="25">
                  <c:v>933</c:v>
                </c:pt>
                <c:pt idx="26">
                  <c:v>1400</c:v>
                </c:pt>
                <c:pt idx="27">
                  <c:v>1400</c:v>
                </c:pt>
                <c:pt idx="28">
                  <c:v>2380</c:v>
                </c:pt>
                <c:pt idx="29">
                  <c:v>3379</c:v>
                </c:pt>
                <c:pt idx="30">
                  <c:v>2918</c:v>
                </c:pt>
                <c:pt idx="31">
                  <c:v>2769</c:v>
                </c:pt>
                <c:pt idx="32">
                  <c:v>2417</c:v>
                </c:pt>
                <c:pt idx="33">
                  <c:v>2251</c:v>
                </c:pt>
                <c:pt idx="34">
                  <c:v>4100</c:v>
                </c:pt>
                <c:pt idx="35">
                  <c:v>4100</c:v>
                </c:pt>
                <c:pt idx="36">
                  <c:v>2891</c:v>
                </c:pt>
                <c:pt idx="37">
                  <c:v>3595</c:v>
                </c:pt>
                <c:pt idx="38">
                  <c:v>3279</c:v>
                </c:pt>
                <c:pt idx="39">
                  <c:v>0</c:v>
                </c:pt>
                <c:pt idx="40">
                  <c:v>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60-4584-A2FB-2EA8A52F1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Feuil1archive!$D$2:$D$42</c:f>
              <c:numCache>
                <c:formatCode>General</c:formatCode>
                <c:ptCount val="41"/>
                <c:pt idx="0">
                  <c:v>5294</c:v>
                </c:pt>
                <c:pt idx="1">
                  <c:v>502.1</c:v>
                </c:pt>
                <c:pt idx="2">
                  <c:v>25000</c:v>
                </c:pt>
                <c:pt idx="3">
                  <c:v>25000</c:v>
                </c:pt>
                <c:pt idx="4">
                  <c:v>35894</c:v>
                </c:pt>
                <c:pt idx="5">
                  <c:v>16461</c:v>
                </c:pt>
                <c:pt idx="6">
                  <c:v>23941</c:v>
                </c:pt>
                <c:pt idx="7">
                  <c:v>21822</c:v>
                </c:pt>
                <c:pt idx="8">
                  <c:v>17488</c:v>
                </c:pt>
                <c:pt idx="9">
                  <c:v>16414</c:v>
                </c:pt>
                <c:pt idx="10">
                  <c:v>1</c:v>
                </c:pt>
                <c:pt idx="11">
                  <c:v>20862</c:v>
                </c:pt>
                <c:pt idx="12">
                  <c:v>18325</c:v>
                </c:pt>
                <c:pt idx="13">
                  <c:v>782</c:v>
                </c:pt>
                <c:pt idx="14">
                  <c:v>13102</c:v>
                </c:pt>
                <c:pt idx="15">
                  <c:v>42268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9345</c:v>
                </c:pt>
                <c:pt idx="20">
                  <c:v>9402</c:v>
                </c:pt>
                <c:pt idx="21">
                  <c:v>9327</c:v>
                </c:pt>
                <c:pt idx="22">
                  <c:v>9257</c:v>
                </c:pt>
                <c:pt idx="23">
                  <c:v>9600</c:v>
                </c:pt>
                <c:pt idx="24">
                  <c:v>9313</c:v>
                </c:pt>
                <c:pt idx="25">
                  <c:v>9600</c:v>
                </c:pt>
                <c:pt idx="26">
                  <c:v>14451</c:v>
                </c:pt>
                <c:pt idx="27">
                  <c:v>14234</c:v>
                </c:pt>
                <c:pt idx="28">
                  <c:v>6050</c:v>
                </c:pt>
                <c:pt idx="29">
                  <c:v>500</c:v>
                </c:pt>
                <c:pt idx="30">
                  <c:v>9847</c:v>
                </c:pt>
                <c:pt idx="31">
                  <c:v>9680</c:v>
                </c:pt>
                <c:pt idx="32">
                  <c:v>9956</c:v>
                </c:pt>
                <c:pt idx="33">
                  <c:v>19000</c:v>
                </c:pt>
                <c:pt idx="34">
                  <c:v>6598</c:v>
                </c:pt>
                <c:pt idx="35">
                  <c:v>6810</c:v>
                </c:pt>
                <c:pt idx="36">
                  <c:v>5942</c:v>
                </c:pt>
                <c:pt idx="37">
                  <c:v>10908</c:v>
                </c:pt>
                <c:pt idx="38">
                  <c:v>11503</c:v>
                </c:pt>
                <c:pt idx="39">
                  <c:v>480</c:v>
                </c:pt>
                <c:pt idx="40">
                  <c:v>6685</c:v>
                </c:pt>
              </c:numCache>
            </c:numRef>
          </c:xVal>
          <c:yVal>
            <c:numRef>
              <c:f>Feuil1archive!$C$2:$C$42</c:f>
              <c:numCache>
                <c:formatCode>General</c:formatCode>
                <c:ptCount val="41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7204</c:v>
                </c:pt>
                <c:pt idx="11">
                  <c:v>8775</c:v>
                </c:pt>
                <c:pt idx="12">
                  <c:v>6692</c:v>
                </c:pt>
                <c:pt idx="13">
                  <c:v>6226</c:v>
                </c:pt>
                <c:pt idx="14">
                  <c:v>7655</c:v>
                </c:pt>
                <c:pt idx="15">
                  <c:v>9874</c:v>
                </c:pt>
                <c:pt idx="16">
                  <c:v>11508</c:v>
                </c:pt>
                <c:pt idx="17">
                  <c:v>11334</c:v>
                </c:pt>
                <c:pt idx="18">
                  <c:v>9167</c:v>
                </c:pt>
                <c:pt idx="19">
                  <c:v>5472</c:v>
                </c:pt>
                <c:pt idx="20">
                  <c:v>7684</c:v>
                </c:pt>
                <c:pt idx="21">
                  <c:v>3106</c:v>
                </c:pt>
                <c:pt idx="22">
                  <c:v>4532</c:v>
                </c:pt>
                <c:pt idx="23">
                  <c:v>3106</c:v>
                </c:pt>
                <c:pt idx="24">
                  <c:v>4532</c:v>
                </c:pt>
                <c:pt idx="25">
                  <c:v>3106</c:v>
                </c:pt>
                <c:pt idx="26">
                  <c:v>5492</c:v>
                </c:pt>
                <c:pt idx="27">
                  <c:v>5492</c:v>
                </c:pt>
                <c:pt idx="28">
                  <c:v>6630</c:v>
                </c:pt>
                <c:pt idx="29">
                  <c:v>11856</c:v>
                </c:pt>
                <c:pt idx="30">
                  <c:v>10447</c:v>
                </c:pt>
                <c:pt idx="31">
                  <c:v>10615</c:v>
                </c:pt>
                <c:pt idx="32">
                  <c:v>10337</c:v>
                </c:pt>
                <c:pt idx="33">
                  <c:v>8272</c:v>
                </c:pt>
                <c:pt idx="34">
                  <c:v>15331</c:v>
                </c:pt>
                <c:pt idx="35">
                  <c:v>15119</c:v>
                </c:pt>
                <c:pt idx="36">
                  <c:v>16020</c:v>
                </c:pt>
                <c:pt idx="37">
                  <c:v>11020</c:v>
                </c:pt>
                <c:pt idx="38">
                  <c:v>10426</c:v>
                </c:pt>
                <c:pt idx="39">
                  <c:v>3087</c:v>
                </c:pt>
                <c:pt idx="40">
                  <c:v>11486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6B-4789-ACEB-64C8E1AE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195320</xdr:colOff>
      <xdr:row>44</xdr:row>
      <xdr:rowOff>12553</xdr:rowOff>
    </xdr:from>
    <xdr:to>
      <xdr:col>6</xdr:col>
      <xdr:colOff>653457</xdr:colOff>
      <xdr:row>59</xdr:row>
      <xdr:rowOff>50017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63D3629-3273-873A-EA9D-2049A6BA0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61</xdr:row>
      <xdr:rowOff>114300</xdr:rowOff>
    </xdr:from>
    <xdr:to>
      <xdr:col>6</xdr:col>
      <xdr:colOff>672465</xdr:colOff>
      <xdr:row>76</xdr:row>
      <xdr:rowOff>139065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9C6D180-D0A1-41BE-8946-4EC2BF051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</xdr:colOff>
      <xdr:row>44</xdr:row>
      <xdr:rowOff>66675</xdr:rowOff>
    </xdr:from>
    <xdr:to>
      <xdr:col>13</xdr:col>
      <xdr:colOff>114300</xdr:colOff>
      <xdr:row>59</xdr:row>
      <xdr:rowOff>87630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E46E5C16-1F20-4697-8FF5-A3DE1527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61</xdr:row>
      <xdr:rowOff>0</xdr:rowOff>
    </xdr:from>
    <xdr:to>
      <xdr:col>13</xdr:col>
      <xdr:colOff>89535</xdr:colOff>
      <xdr:row>76</xdr:row>
      <xdr:rowOff>32385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53CCDFB0-8E1D-4C78-A210-012D4F388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211455</xdr:colOff>
      <xdr:row>78</xdr:row>
      <xdr:rowOff>102870</xdr:rowOff>
    </xdr:from>
    <xdr:to>
      <xdr:col>6</xdr:col>
      <xdr:colOff>678180</xdr:colOff>
      <xdr:row>93</xdr:row>
      <xdr:rowOff>135255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C6DADDB-27B6-45A0-87D2-24C8F7DB0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85725</xdr:colOff>
      <xdr:row>78</xdr:row>
      <xdr:rowOff>125730</xdr:rowOff>
    </xdr:from>
    <xdr:to>
      <xdr:col>13</xdr:col>
      <xdr:colOff>186690</xdr:colOff>
      <xdr:row>93</xdr:row>
      <xdr:rowOff>142875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832CB65-7B39-4AAB-A1CF-F4B92B6E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230505</xdr:colOff>
      <xdr:row>96</xdr:row>
      <xdr:rowOff>19050</xdr:rowOff>
    </xdr:from>
    <xdr:to>
      <xdr:col>6</xdr:col>
      <xdr:colOff>693420</xdr:colOff>
      <xdr:row>111</xdr:row>
      <xdr:rowOff>28575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1D3677FC-9433-4D5B-88EF-DDF48FB1D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363855</xdr:colOff>
      <xdr:row>95</xdr:row>
      <xdr:rowOff>152400</xdr:rowOff>
    </xdr:from>
    <xdr:to>
      <xdr:col>13</xdr:col>
      <xdr:colOff>449580</xdr:colOff>
      <xdr:row>110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C516211-A037-4D70-A06C-6EFDB38A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112</xdr:row>
      <xdr:rowOff>108857</xdr:rowOff>
    </xdr:from>
    <xdr:to>
      <xdr:col>6</xdr:col>
      <xdr:colOff>447403</xdr:colOff>
      <xdr:row>127</xdr:row>
      <xdr:rowOff>127907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4F30F882-1D04-41C3-AAA4-0EA18362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145116</xdr:colOff>
      <xdr:row>47</xdr:row>
      <xdr:rowOff>64483</xdr:rowOff>
    </xdr:from>
    <xdr:to>
      <xdr:col>20</xdr:col>
      <xdr:colOff>386689</xdr:colOff>
      <xdr:row>62</xdr:row>
      <xdr:rowOff>28287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3818A26-DDE9-175D-CA62-CB583A0B0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B372F-B6E8-4845-B0EA-74D8461302A1}">
  <dimension ref="A1:O41"/>
  <sheetViews>
    <sheetView zoomScale="70" zoomScaleNormal="70" workbookViewId="0">
      <selection activeCell="N37" sqref="N37"/>
    </sheetView>
  </sheetViews>
  <sheetFormatPr baseColWidth="10" defaultRowHeight="14.4" x14ac:dyDescent="0.3"/>
  <cols>
    <col min="1" max="1" width="19.5546875" bestFit="1" customWidth="1"/>
    <col min="13" max="13" width="16.33203125" bestFit="1" customWidth="1"/>
  </cols>
  <sheetData>
    <row r="1" spans="1:15" ht="15" thickBot="1" x14ac:dyDescent="0.35">
      <c r="A1" s="30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33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3">
      <c r="A2" s="31" t="s">
        <v>12</v>
      </c>
      <c r="B2" s="1">
        <f>((Feuil1archive!B2-MIN(Feuil1archive!B$2:B$42))/(MAX(Feuil1archive!B$2:B$42) - MIN(Feuil1archive!B$2:B$42)))</f>
        <v>0.12676821396752669</v>
      </c>
      <c r="C2" s="1">
        <f>((Feuil1archive!C2-MIN(Feuil1archive!C$2:C$42))/(MAX(Feuil1archive!C$2:C$42) - MIN(Feuil1archive!C$2:C$42)))</f>
        <v>8.089250476491941E-2</v>
      </c>
      <c r="D2" s="1">
        <f>((Feuil1archive!D2-MIN(Feuil1archive!D$2:D$42))/(MAX(Feuil1archive!D$2:D$42) - MIN(Feuil1archive!D$2:D$42)))</f>
        <v>0.12522771902429791</v>
      </c>
      <c r="E2" s="1">
        <f>((Feuil1archive!E2-MIN(Feuil1archive!E$2:E$42))/(MAX(Feuil1archive!E$2:E$42) - MIN(Feuil1archive!E$2:E$42)))</f>
        <v>0.12699112875557517</v>
      </c>
      <c r="F2" s="1">
        <f>((Feuil1archive!G2-MIN(Feuil1archive!G$2:G$42))/(MAX(Feuil1archive!G$2:G$42) - MIN(Feuil1archive!G$2:G$42)))</f>
        <v>0.11874851390980423</v>
      </c>
      <c r="G2" s="1">
        <f>((Feuil1archive!H2-MIN(Feuil1archive!H$2:H$42))/(MAX(Feuil1archive!H$2:H$42) - MIN(Feuil1archive!H$2:H$42)))</f>
        <v>0.14465506802170136</v>
      </c>
      <c r="H2" s="1">
        <f>((Feuil1archive!J2-MIN(Feuil1archive!J$2:J$42))/(MAX(Feuil1archive!J$2:J$42) - MIN(Feuil1archive!J$2:J$42)))</f>
        <v>0</v>
      </c>
      <c r="I2" s="1">
        <f>((Feuil1archive!K2-MIN(Feuil1archive!K$2:K$42))/(MAX(Feuil1archive!K$2:K$42) - MIN(Feuil1archive!K$2:K$42)))</f>
        <v>1.4720314033366045E-3</v>
      </c>
      <c r="J2" s="1">
        <f>((Feuil1archive!L2-MIN(Feuil1archive!L$2:L$42))/(MAX(Feuil1archive!L$2:L$42) - MIN(Feuil1archive!L$2:L$42)))</f>
        <v>5.14152443549242E-2</v>
      </c>
      <c r="K2" s="1">
        <f>((Feuil1archive!M2-MIN(Feuil1archive!M$2:M$42))/(MAX(Feuil1archive!M$2:M$42) - MIN(Feuil1archive!M$2:M$42)))</f>
        <v>0.16718847839699438</v>
      </c>
      <c r="L2" s="1">
        <f>((Feuil1archive!N2-MIN(Feuil1archive!N$2:N$42))/(MAX(Feuil1archive!N$2:N$42) - MIN(Feuil1archive!N$2:N$42)))</f>
        <v>0</v>
      </c>
      <c r="M2" s="1">
        <f>((Feuil1archive!O2-MIN(Feuil1archive!O$2:O$42))/(MAX(Feuil1archive!O$2:O$42) - MIN(Feuil1archive!O$2:O$42)))</f>
        <v>0.20029747149231533</v>
      </c>
      <c r="N2" s="1">
        <f>((Feuil1archive!P2-MIN(Feuil1archive!P$2:P$42))/(MAX(Feuil1archive!P$2:P$42) - MIN(Feuil1archive!P$2:P$42)))</f>
        <v>0.15097560975609756</v>
      </c>
      <c r="O2" s="1">
        <f>((Feuil1archive!Q2-MIN(Feuil1archive!Q$2:Q$42))/(MAX(Feuil1archive!Q$2:Q$42) - MIN(Feuil1archive!Q$2:Q$42)))</f>
        <v>0</v>
      </c>
    </row>
    <row r="3" spans="1:15" x14ac:dyDescent="0.3">
      <c r="A3" s="31" t="s">
        <v>13</v>
      </c>
      <c r="B3" s="1">
        <f>((Feuil1archive!B3-MIN(Feuil1archive!B$2:B$42))/(MAX(Feuil1archive!B$2:B$42) - MIN(Feuil1archive!B$2:B$42)))</f>
        <v>0</v>
      </c>
      <c r="C3" s="1">
        <f>((Feuil1archive!C3-MIN(Feuil1archive!C$2:C$42))/(MAX(Feuil1archive!C$2:C$42) - MIN(Feuil1archive!C$2:C$42)))</f>
        <v>0</v>
      </c>
      <c r="D3" s="1">
        <f>((Feuil1archive!D3-MIN(Feuil1archive!D$2:D$42))/(MAX(Feuil1archive!D$2:D$42) - MIN(Feuil1archive!D$2:D$42)))</f>
        <v>1.1855584735136159E-2</v>
      </c>
      <c r="E3" s="1">
        <f>((Feuil1archive!E3-MIN(Feuil1archive!E$2:E$42))/(MAX(Feuil1archive!E$2:E$42) - MIN(Feuil1archive!E$2:E$42)))</f>
        <v>4.8032152134490916E-4</v>
      </c>
      <c r="F3" s="1">
        <f>((Feuil1archive!G3-MIN(Feuil1archive!G$2:G$42))/(MAX(Feuil1archive!G$2:G$42) - MIN(Feuil1archive!G$2:G$42)))</f>
        <v>0</v>
      </c>
      <c r="G3" s="1">
        <f>((Feuil1archive!H3-MIN(Feuil1archive!H$2:H$42))/(MAX(Feuil1archive!H$2:H$42) - MIN(Feuil1archive!H$2:H$42)))</f>
        <v>2.4521949930303592E-2</v>
      </c>
      <c r="H3" s="1">
        <f>((Feuil1archive!J3-MIN(Feuil1archive!J$2:J$42))/(MAX(Feuil1archive!J$2:J$42) - MIN(Feuil1archive!J$2:J$42)))</f>
        <v>0.1476510067114094</v>
      </c>
      <c r="I3" s="1">
        <f>((Feuil1archive!K3-MIN(Feuil1archive!K$2:K$42))/(MAX(Feuil1archive!K$2:K$42) - MIN(Feuil1archive!K$2:K$42)))</f>
        <v>8.6849852796859698E-3</v>
      </c>
      <c r="J3" s="1">
        <f>((Feuil1archive!L3-MIN(Feuil1archive!L$2:L$42))/(MAX(Feuil1archive!L$2:L$42) - MIN(Feuil1archive!L$2:L$42)))</f>
        <v>0</v>
      </c>
      <c r="K3" s="1">
        <f>((Feuil1archive!M3-MIN(Feuil1archive!M$2:M$42))/(MAX(Feuil1archive!M$2:M$42) - MIN(Feuil1archive!M$2:M$42)))</f>
        <v>0</v>
      </c>
      <c r="L3" s="1">
        <f>((Feuil1archive!N3-MIN(Feuil1archive!N$2:N$42))/(MAX(Feuil1archive!N$2:N$42) - MIN(Feuil1archive!N$2:N$42)))</f>
        <v>6.3974719101123595E-2</v>
      </c>
      <c r="M3" s="1">
        <f>((Feuil1archive!O3-MIN(Feuil1archive!O$2:O$42))/(MAX(Feuil1archive!O$2:O$42) - MIN(Feuil1archive!O$2:O$42)))</f>
        <v>5.6271690629647993E-2</v>
      </c>
      <c r="N3" s="1">
        <f>((Feuil1archive!P3-MIN(Feuil1archive!P$2:P$42))/(MAX(Feuil1archive!P$2:P$42) - MIN(Feuil1archive!P$2:P$42)))</f>
        <v>1.3658536585365854E-2</v>
      </c>
      <c r="O3" s="1">
        <f>((Feuil1archive!Q3-MIN(Feuil1archive!Q$2:Q$42))/(MAX(Feuil1archive!Q$2:Q$42) - MIN(Feuil1archive!Q$2:Q$42)))</f>
        <v>0</v>
      </c>
    </row>
    <row r="4" spans="1:15" x14ac:dyDescent="0.3">
      <c r="A4" s="31" t="s">
        <v>14</v>
      </c>
      <c r="B4" s="1">
        <f>((Feuil1archive!B4-MIN(Feuil1archive!B$2:B$42))/(MAX(Feuil1archive!B$2:B$42) - MIN(Feuil1archive!B$2:B$42)))</f>
        <v>0.62542500772741327</v>
      </c>
      <c r="C4" s="1">
        <f>((Feuil1archive!C4-MIN(Feuil1archive!C$2:C$42))/(MAX(Feuil1archive!C$2:C$42) - MIN(Feuil1archive!C$2:C$42)))</f>
        <v>0.58264020312363196</v>
      </c>
      <c r="D4" s="1">
        <f>((Feuil1archive!D4-MIN(Feuil1archive!D$2:D$42))/(MAX(Feuil1archive!D$2:D$42) - MIN(Feuil1archive!D$2:D$42)))</f>
        <v>0.59145432606998372</v>
      </c>
      <c r="E4" s="1">
        <f>((Feuil1archive!E4-MIN(Feuil1archive!E$2:E$42))/(MAX(Feuil1archive!E$2:E$42) - MIN(Feuil1archive!E$2:E$42)))</f>
        <v>0.53685732490320048</v>
      </c>
      <c r="F4" s="1">
        <f>((Feuil1archive!G4-MIN(Feuil1archive!G$2:G$42))/(MAX(Feuil1archive!G$2:G$42) - MIN(Feuil1archive!G$2:G$42)))</f>
        <v>0.65683205199334227</v>
      </c>
      <c r="G4" s="1">
        <f>((Feuil1archive!H4-MIN(Feuil1archive!H$2:H$42))/(MAX(Feuil1archive!H$2:H$42) - MIN(Feuil1archive!H$2:H$42)))</f>
        <v>8.8818548345417886E-2</v>
      </c>
      <c r="H4" s="1">
        <f>((Feuil1archive!J4-MIN(Feuil1archive!J$2:J$42))/(MAX(Feuil1archive!J$2:J$42) - MIN(Feuil1archive!J$2:J$42)))</f>
        <v>0.93288590604026844</v>
      </c>
      <c r="I4" s="1">
        <f>((Feuil1archive!K4-MIN(Feuil1archive!K$2:K$42))/(MAX(Feuil1archive!K$2:K$42) - MIN(Feuil1archive!K$2:K$42)))</f>
        <v>0.20117762512266929</v>
      </c>
      <c r="J4" s="1">
        <f>((Feuil1archive!L4-MIN(Feuil1archive!L$2:L$42))/(MAX(Feuil1archive!L$2:L$42) - MIN(Feuil1archive!L$2:L$42)))</f>
        <v>0.84925262376762434</v>
      </c>
      <c r="K4" s="1">
        <f>((Feuil1archive!M4-MIN(Feuil1archive!M$2:M$42))/(MAX(Feuil1archive!M$2:M$42) - MIN(Feuil1archive!M$2:M$42)))</f>
        <v>0.2451123634592639</v>
      </c>
      <c r="L4" s="1">
        <f>((Feuil1archive!N4-MIN(Feuil1archive!N$2:N$42))/(MAX(Feuil1archive!N$2:N$42) - MIN(Feuil1archive!N$2:N$42)))</f>
        <v>0.6355337078651685</v>
      </c>
      <c r="M4" s="1">
        <f>((Feuil1archive!O4-MIN(Feuil1archive!O$2:O$42))/(MAX(Feuil1archive!O$2:O$42) - MIN(Feuil1archive!O$2:O$42)))</f>
        <v>1</v>
      </c>
      <c r="N4" s="1">
        <f>((Feuil1archive!P4-MIN(Feuil1archive!P$2:P$42))/(MAX(Feuil1archive!P$2:P$42) - MIN(Feuil1archive!P$2:P$42)))</f>
        <v>0.11097560975609756</v>
      </c>
      <c r="O4" s="1">
        <f>((Feuil1archive!Q4-MIN(Feuil1archive!Q$2:Q$42))/(MAX(Feuil1archive!Q$2:Q$42) - MIN(Feuil1archive!Q$2:Q$42)))</f>
        <v>0</v>
      </c>
    </row>
    <row r="5" spans="1:15" x14ac:dyDescent="0.3">
      <c r="A5" s="31" t="s">
        <v>15</v>
      </c>
      <c r="B5" s="1">
        <f>((Feuil1archive!B5-MIN(Feuil1archive!B$2:B$42))/(MAX(Feuil1archive!B$2:B$42) - MIN(Feuil1archive!B$2:B$42)))</f>
        <v>0.73023373152239135</v>
      </c>
      <c r="C5" s="1">
        <f>((Feuil1archive!C5-MIN(Feuil1archive!C$2:C$42))/(MAX(Feuil1archive!C$2:C$42) - MIN(Feuil1archive!C$2:C$42)))</f>
        <v>0.45306133444683161</v>
      </c>
      <c r="D5" s="1">
        <f>((Feuil1archive!D5-MIN(Feuil1archive!D$2:D$42))/(MAX(Feuil1archive!D$2:D$42) - MIN(Feuil1archive!D$2:D$42)))</f>
        <v>0.59145432606998372</v>
      </c>
      <c r="E5" s="1">
        <f>((Feuil1archive!E5-MIN(Feuil1archive!E$2:E$42))/(MAX(Feuil1archive!E$2:E$42) - MIN(Feuil1archive!E$2:E$42)))</f>
        <v>0.81002793706807819</v>
      </c>
      <c r="F5" s="1">
        <f>((Feuil1archive!G5-MIN(Feuil1archive!G$2:G$42))/(MAX(Feuil1archive!G$2:G$42) - MIN(Feuil1archive!G$2:G$42)))</f>
        <v>0.61870888483791708</v>
      </c>
      <c r="G5" s="1">
        <f>((Feuil1archive!H5-MIN(Feuil1archive!H$2:H$42))/(MAX(Feuil1archive!H$2:H$42) - MIN(Feuil1archive!H$2:H$42)))</f>
        <v>8.8818548345417886E-2</v>
      </c>
      <c r="H5" s="1">
        <f>((Feuil1archive!J5-MIN(Feuil1archive!J$2:J$42))/(MAX(Feuil1archive!J$2:J$42) - MIN(Feuil1archive!J$2:J$42)))</f>
        <v>0.1476510067114094</v>
      </c>
      <c r="I5" s="1">
        <f>((Feuil1archive!K5-MIN(Feuil1archive!K$2:K$42))/(MAX(Feuil1archive!K$2:K$42) - MIN(Feuil1archive!K$2:K$42)))</f>
        <v>0.24599280340202814</v>
      </c>
      <c r="J5" s="1">
        <f>((Feuil1archive!L5-MIN(Feuil1archive!L$2:L$42))/(MAX(Feuil1archive!L$2:L$42) - MIN(Feuil1archive!L$2:L$42)))</f>
        <v>0.57044418530690133</v>
      </c>
      <c r="K5" s="1">
        <f>((Feuil1archive!M5-MIN(Feuil1archive!M$2:M$42))/(MAX(Feuil1archive!M$2:M$42) - MIN(Feuil1archive!M$2:M$42)))</f>
        <v>0.2451123634592639</v>
      </c>
      <c r="L5" s="1">
        <f>((Feuil1archive!N5-MIN(Feuil1archive!N$2:N$42))/(MAX(Feuil1archive!N$2:N$42) - MIN(Feuil1archive!N$2:N$42)))</f>
        <v>0.7254213483146067</v>
      </c>
      <c r="M5" s="1">
        <f>((Feuil1archive!O5-MIN(Feuil1archive!O$2:O$42))/(MAX(Feuil1archive!O$2:O$42) - MIN(Feuil1archive!O$2:O$42)))</f>
        <v>0.49876053544868615</v>
      </c>
      <c r="N5" s="1">
        <f>((Feuil1archive!P5-MIN(Feuil1archive!P$2:P$42))/(MAX(Feuil1archive!P$2:P$42) - MIN(Feuil1archive!P$2:P$42)))</f>
        <v>0.11097560975609756</v>
      </c>
      <c r="O5" s="1">
        <f>((Feuil1archive!Q5-MIN(Feuil1archive!Q$2:Q$42))/(MAX(Feuil1archive!Q$2:Q$42) - MIN(Feuil1archive!Q$2:Q$42)))</f>
        <v>0</v>
      </c>
    </row>
    <row r="6" spans="1:15" x14ac:dyDescent="0.3">
      <c r="A6" s="31" t="s">
        <v>22</v>
      </c>
      <c r="B6" s="1">
        <f>((Feuil1archive!B6-MIN(Feuil1archive!B$2:B$42))/(MAX(Feuil1archive!B$2:B$42) - MIN(Feuil1archive!B$2:B$42)))</f>
        <v>1</v>
      </c>
      <c r="C6" s="1">
        <f>((Feuil1archive!C6-MIN(Feuil1archive!C$2:C$42))/(MAX(Feuil1archive!C$2:C$42) - MIN(Feuil1archive!C$2:C$42)))</f>
        <v>0.79606818380802935</v>
      </c>
      <c r="D6" s="1">
        <f>((Feuil1archive!D6-MIN(Feuil1archive!D$2:D$42))/(MAX(Feuil1archive!D$2:D$42) - MIN(Feuil1archive!D$2:D$42)))</f>
        <v>0.84919677289611284</v>
      </c>
      <c r="E6" s="1">
        <f>((Feuil1archive!E6-MIN(Feuil1archive!E$2:E$42))/(MAX(Feuil1archive!E$2:E$42) - MIN(Feuil1archive!E$2:E$42)))</f>
        <v>1</v>
      </c>
      <c r="F6" s="1">
        <f>((Feuil1archive!G6-MIN(Feuil1archive!G$2:G$42))/(MAX(Feuil1archive!G$2:G$42) - MIN(Feuil1archive!G$2:G$42)))</f>
        <v>0.93548387096774188</v>
      </c>
      <c r="G6" s="1">
        <f>((Feuil1archive!H6-MIN(Feuil1archive!H$2:H$42))/(MAX(Feuil1archive!H$2:H$42) - MIN(Feuil1archive!H$2:H$42)))</f>
        <v>0.427221697898651</v>
      </c>
      <c r="H6" s="1">
        <f>((Feuil1archive!J6-MIN(Feuil1archive!J$2:J$42))/(MAX(Feuil1archive!J$2:J$42) - MIN(Feuil1archive!J$2:J$42)))</f>
        <v>0.93288590604026844</v>
      </c>
      <c r="I6" s="1">
        <f>((Feuil1archive!K6-MIN(Feuil1archive!K$2:K$42))/(MAX(Feuil1archive!K$2:K$42) - MIN(Feuil1archive!K$2:K$42)))</f>
        <v>0.21573438011122015</v>
      </c>
      <c r="J6" s="1">
        <f>((Feuil1archive!L6-MIN(Feuil1archive!L$2:L$42))/(MAX(Feuil1archive!L$2:L$42) - MIN(Feuil1archive!L$2:L$42)))</f>
        <v>1</v>
      </c>
      <c r="K6" s="1">
        <f>((Feuil1archive!M6-MIN(Feuil1archive!M$2:M$42))/(MAX(Feuil1archive!M$2:M$42) - MIN(Feuil1archive!M$2:M$42)))</f>
        <v>0.18040770889862939</v>
      </c>
      <c r="L6" s="1">
        <f>((Feuil1archive!N6-MIN(Feuil1archive!N$2:N$42))/(MAX(Feuil1archive!N$2:N$42) - MIN(Feuil1archive!N$2:N$42)))</f>
        <v>0.1952247191011236</v>
      </c>
      <c r="M6" s="1">
        <f>((Feuil1archive!O6-MIN(Feuil1archive!O$2:O$42))/(MAX(Feuil1archive!O$2:O$42) - MIN(Feuil1archive!O$2:O$42)))</f>
        <v>0.20823004462072384</v>
      </c>
      <c r="N6" s="1">
        <f>((Feuil1archive!P6-MIN(Feuil1archive!P$2:P$42))/(MAX(Feuil1archive!P$2:P$42) - MIN(Feuil1archive!P$2:P$42)))</f>
        <v>0.79585365853658541</v>
      </c>
      <c r="O6" s="1">
        <f>((Feuil1archive!Q6-MIN(Feuil1archive!Q$2:Q$42))/(MAX(Feuil1archive!Q$2:Q$42) - MIN(Feuil1archive!Q$2:Q$42)))</f>
        <v>0.95621181262729127</v>
      </c>
    </row>
    <row r="7" spans="1:15" x14ac:dyDescent="0.3">
      <c r="A7" s="31" t="s">
        <v>16</v>
      </c>
      <c r="B7" s="1">
        <f>((Feuil1archive!B7-MIN(Feuil1archive!B$2:B$42))/(MAX(Feuil1archive!B$2:B$42) - MIN(Feuil1archive!B$2:B$42)))</f>
        <v>0.45208094692630779</v>
      </c>
      <c r="C7" s="1">
        <f>((Feuil1archive!C7-MIN(Feuil1archive!C$2:C$42))/(MAX(Feuil1archive!C$2:C$42) - MIN(Feuil1archive!C$2:C$42)))</f>
        <v>0.31560266970184742</v>
      </c>
      <c r="D7" s="1">
        <f>((Feuil1archive!D7-MIN(Feuil1archive!D$2:D$42))/(MAX(Feuil1archive!D$2:D$42) - MIN(Feuil1archive!D$2:D$42)))</f>
        <v>0.38942910544869519</v>
      </c>
      <c r="E7" s="1">
        <f>((Feuil1archive!E7-MIN(Feuil1archive!E$2:E$42))/(MAX(Feuil1archive!E$2:E$42) - MIN(Feuil1archive!E$2:E$42)))</f>
        <v>0.46946527471450278</v>
      </c>
      <c r="F7" s="1">
        <f>((Feuil1archive!G7-MIN(Feuil1archive!G$2:G$42))/(MAX(Feuil1archive!G$2:G$42) - MIN(Feuil1archive!G$2:G$42)))</f>
        <v>0.40907109455496554</v>
      </c>
      <c r="G7" s="1">
        <f>((Feuil1archive!H7-MIN(Feuil1archive!H$2:H$42))/(MAX(Feuil1archive!H$2:H$42) - MIN(Feuil1archive!H$2:H$42)))</f>
        <v>0.14296305227393519</v>
      </c>
      <c r="H7" s="1">
        <f>((Feuil1archive!J7-MIN(Feuil1archive!J$2:J$42))/(MAX(Feuil1archive!J$2:J$42) - MIN(Feuil1archive!J$2:J$42)))</f>
        <v>0.4563758389261745</v>
      </c>
      <c r="I7" s="1">
        <f>((Feuil1archive!K7-MIN(Feuil1archive!K$2:K$42))/(MAX(Feuil1archive!K$2:K$42) - MIN(Feuil1archive!K$2:K$42)))</f>
        <v>0.38779849525678772</v>
      </c>
      <c r="J7" s="1">
        <f>((Feuil1archive!L7-MIN(Feuil1archive!L$2:L$42))/(MAX(Feuil1archive!L$2:L$42) - MIN(Feuil1archive!L$2:L$42)))</f>
        <v>0.31729036361708896</v>
      </c>
      <c r="K7" s="1">
        <f>((Feuil1archive!M7-MIN(Feuil1archive!M$2:M$42))/(MAX(Feuil1archive!M$2:M$42) - MIN(Feuil1archive!M$2:M$42)))</f>
        <v>5.4477144646211645E-2</v>
      </c>
      <c r="L7" s="1">
        <f>((Feuil1archive!N7-MIN(Feuil1archive!N$2:N$42))/(MAX(Feuil1archive!N$2:N$42) - MIN(Feuil1archive!N$2:N$42)))</f>
        <v>0.5540730337078652</v>
      </c>
      <c r="M7" s="1">
        <f>((Feuil1archive!O7-MIN(Feuil1archive!O$2:O$42))/(MAX(Feuil1archive!O$2:O$42) - MIN(Feuil1archive!O$2:O$42)))</f>
        <v>0</v>
      </c>
      <c r="N7" s="1">
        <f>((Feuil1archive!P7-MIN(Feuil1archive!P$2:P$42))/(MAX(Feuil1archive!P$2:P$42) - MIN(Feuil1archive!P$2:P$42)))</f>
        <v>6.4634146341463417E-2</v>
      </c>
      <c r="O7" s="1">
        <f>((Feuil1archive!Q7-MIN(Feuil1archive!Q$2:Q$42))/(MAX(Feuil1archive!Q$2:Q$42) - MIN(Feuil1archive!Q$2:Q$42)))</f>
        <v>0</v>
      </c>
    </row>
    <row r="8" spans="1:15" x14ac:dyDescent="0.3">
      <c r="A8" s="31" t="s">
        <v>17</v>
      </c>
      <c r="B8" s="1">
        <f>((Feuil1archive!B8-MIN(Feuil1archive!B$2:B$42))/(MAX(Feuil1archive!B$2:B$42) - MIN(Feuil1archive!B$2:B$42)))</f>
        <v>0.63519791268932169</v>
      </c>
      <c r="C8" s="1">
        <f>((Feuil1archive!C8-MIN(Feuil1archive!C$2:C$42))/(MAX(Feuil1archive!C$2:C$42) - MIN(Feuil1archive!C$2:C$42)))</f>
        <v>0.69612273624234755</v>
      </c>
      <c r="D8" s="1">
        <f>((Feuil1archive!D8-MIN(Feuil1archive!D$2:D$42))/(MAX(Feuil1archive!D$2:D$42) - MIN(Feuil1archive!D$2:D$42)))</f>
        <v>0.56639931861736104</v>
      </c>
      <c r="E8" s="1">
        <f>((Feuil1archive!E8-MIN(Feuil1archive!E$2:E$42))/(MAX(Feuil1archive!E$2:E$42) - MIN(Feuil1archive!E$2:E$42)))</f>
        <v>0.54259177571925699</v>
      </c>
      <c r="F8" s="1">
        <f>((Feuil1archive!G8-MIN(Feuil1archive!G$2:G$42))/(MAX(Feuil1archive!G$2:G$42) - MIN(Feuil1archive!G$2:G$42)))</f>
        <v>0.66923595149401605</v>
      </c>
      <c r="G8" s="1">
        <f>((Feuil1archive!H8-MIN(Feuil1archive!H$2:H$42))/(MAX(Feuil1archive!H$2:H$42) - MIN(Feuil1archive!H$2:H$42)))</f>
        <v>2.1137918434771263E-2</v>
      </c>
      <c r="H8" s="1">
        <f>((Feuil1archive!J8-MIN(Feuil1archive!J$2:J$42))/(MAX(Feuil1archive!J$2:J$42) - MIN(Feuil1archive!J$2:J$42)))</f>
        <v>0.34228187919463088</v>
      </c>
      <c r="I8" s="1">
        <f>((Feuil1archive!K8-MIN(Feuil1archive!K$2:K$42))/(MAX(Feuil1archive!K$2:K$42) - MIN(Feuil1archive!K$2:K$42)))</f>
        <v>0.25580634609093883</v>
      </c>
      <c r="J8" s="1">
        <f>((Feuil1archive!L8-MIN(Feuil1archive!L$2:L$42))/(MAX(Feuil1archive!L$2:L$42) - MIN(Feuil1archive!L$2:L$42)))</f>
        <v>0.46061698293225911</v>
      </c>
      <c r="K8" s="1">
        <f>((Feuil1archive!M8-MIN(Feuil1archive!M$2:M$42))/(MAX(Feuil1archive!M$2:M$42) - MIN(Feuil1archive!M$2:M$42)))</f>
        <v>0.29729353649203372</v>
      </c>
      <c r="L8" s="1">
        <f>((Feuil1archive!N8-MIN(Feuil1archive!N$2:N$42))/(MAX(Feuil1archive!N$2:N$42) - MIN(Feuil1archive!N$2:N$42)))</f>
        <v>0.3967696629213483</v>
      </c>
      <c r="M8" s="1">
        <f>((Feuil1archive!O8-MIN(Feuil1archive!O$2:O$42))/(MAX(Feuil1archive!O$2:O$42) - MIN(Feuil1archive!O$2:O$42)))</f>
        <v>0.53148239960337129</v>
      </c>
      <c r="N8" s="1">
        <f>((Feuil1archive!P8-MIN(Feuil1archive!P$2:P$42))/(MAX(Feuil1archive!P$2:P$42) - MIN(Feuil1archive!P$2:P$42)))</f>
        <v>0.81487804878048775</v>
      </c>
      <c r="O8" s="1">
        <f>((Feuil1archive!Q8-MIN(Feuil1archive!Q$2:Q$42))/(MAX(Feuil1archive!Q$2:Q$42) - MIN(Feuil1archive!Q$2:Q$42)))</f>
        <v>0.76782077393075354</v>
      </c>
    </row>
    <row r="9" spans="1:15" x14ac:dyDescent="0.3">
      <c r="A9" s="31" t="s">
        <v>18</v>
      </c>
      <c r="B9" s="1">
        <f>((Feuil1archive!B9-MIN(Feuil1archive!B$2:B$42))/(MAX(Feuil1archive!B$2:B$42) - MIN(Feuil1archive!B$2:B$42)))</f>
        <v>0.59035618829433267</v>
      </c>
      <c r="C9" s="1">
        <f>((Feuil1archive!C9-MIN(Feuil1archive!C$2:C$42))/(MAX(Feuil1archive!C$2:C$42) - MIN(Feuil1archive!C$2:C$42)))</f>
        <v>0.68440406516658703</v>
      </c>
      <c r="D9" s="1">
        <f>((Feuil1archive!D9-MIN(Feuil1archive!D$2:D$42))/(MAX(Feuil1archive!D$2:D$42) - MIN(Feuil1archive!D$2:D$42)))</f>
        <v>0.51626564459270829</v>
      </c>
      <c r="E9" s="1">
        <f>((Feuil1archive!E9-MIN(Feuil1archive!E$2:E$42))/(MAX(Feuil1archive!E$2:E$42) - MIN(Feuil1archive!E$2:E$42)))</f>
        <v>0.50208302700583252</v>
      </c>
      <c r="F9" s="1">
        <f>((Feuil1archive!G9-MIN(Feuil1archive!G$2:G$42))/(MAX(Feuil1archive!G$2:G$42) - MIN(Feuil1archive!G$2:G$42)))</f>
        <v>0.62380122057541409</v>
      </c>
      <c r="G9" s="1">
        <f>((Feuil1archive!H9-MIN(Feuil1archive!H$2:H$42))/(MAX(Feuil1archive!H$2:H$42) - MIN(Feuil1archive!H$2:H$42)))</f>
        <v>2.1137918434771263E-2</v>
      </c>
      <c r="H9" s="1">
        <f>((Feuil1archive!J9-MIN(Feuil1archive!J$2:J$42))/(MAX(Feuil1archive!J$2:J$42) - MIN(Feuil1archive!J$2:J$42)))</f>
        <v>0.26845637583892618</v>
      </c>
      <c r="I9" s="1">
        <f>((Feuil1archive!K9-MIN(Feuil1archive!K$2:K$42))/(MAX(Feuil1archive!K$2:K$42) - MIN(Feuil1archive!K$2:K$42)))</f>
        <v>0.2508995747464835</v>
      </c>
      <c r="J9" s="1">
        <f>((Feuil1archive!L9-MIN(Feuil1archive!L$2:L$42))/(MAX(Feuil1archive!L$2:L$42) - MIN(Feuil1archive!L$2:L$42)))</f>
        <v>0.44407929608820101</v>
      </c>
      <c r="K9" s="1">
        <f>((Feuil1archive!M9-MIN(Feuil1archive!M$2:M$42))/(MAX(Feuil1archive!M$2:M$42) - MIN(Feuil1archive!M$2:M$42)))</f>
        <v>0.29729353649203372</v>
      </c>
      <c r="L9" s="1">
        <f>((Feuil1archive!N9-MIN(Feuil1archive!N$2:N$42))/(MAX(Feuil1archive!N$2:N$42) - MIN(Feuil1archive!N$2:N$42)))</f>
        <v>0.3967696629213483</v>
      </c>
      <c r="M9" s="1">
        <f>((Feuil1archive!O9-MIN(Feuil1archive!O$2:O$42))/(MAX(Feuil1archive!O$2:O$42) - MIN(Feuil1archive!O$2:O$42)))</f>
        <v>0.52850768468021814</v>
      </c>
      <c r="N9" s="1">
        <f>((Feuil1archive!P9-MIN(Feuil1archive!P$2:P$42))/(MAX(Feuil1archive!P$2:P$42) - MIN(Feuil1archive!P$2:P$42)))</f>
        <v>0.8063414634146342</v>
      </c>
      <c r="O9" s="1">
        <f>((Feuil1archive!Q9-MIN(Feuil1archive!Q$2:Q$42))/(MAX(Feuil1archive!Q$2:Q$42) - MIN(Feuil1archive!Q$2:Q$42)))</f>
        <v>0.75509164969450104</v>
      </c>
    </row>
    <row r="10" spans="1:15" x14ac:dyDescent="0.3">
      <c r="A10" s="31" t="s">
        <v>19</v>
      </c>
      <c r="B10" s="1">
        <f>((Feuil1archive!B10-MIN(Feuil1archive!B$2:B$42))/(MAX(Feuil1archive!B$2:B$42) - MIN(Feuil1archive!B$2:B$42)))</f>
        <v>0.46328569610356557</v>
      </c>
      <c r="C10" s="1">
        <f>((Feuil1archive!C10-MIN(Feuil1archive!C$2:C$42))/(MAX(Feuil1archive!C$2:C$42) - MIN(Feuil1archive!C$2:C$42)))</f>
        <v>0.53845946619432794</v>
      </c>
      <c r="D10" s="1">
        <f>((Feuil1archive!D10-MIN(Feuil1archive!D$2:D$42))/(MAX(Feuil1archive!D$2:D$42) - MIN(Feuil1archive!D$2:D$42)))</f>
        <v>0.41372702108027537</v>
      </c>
      <c r="E10" s="1">
        <f>((Feuil1archive!E10-MIN(Feuil1archive!E$2:E$42))/(MAX(Feuil1archive!E$2:E$42) - MIN(Feuil1archive!E$2:E$42)))</f>
        <v>0.38736950448463459</v>
      </c>
      <c r="F10" s="1">
        <f>((Feuil1archive!G10-MIN(Feuil1archive!G$2:G$42))/(MAX(Feuil1archive!G$2:G$42) - MIN(Feuil1archive!G$2:G$42)))</f>
        <v>0.49498692240627723</v>
      </c>
      <c r="G10" s="1">
        <f>((Feuil1archive!H10-MIN(Feuil1archive!H$2:H$42))/(MAX(Feuil1archive!H$2:H$42) - MIN(Feuil1archive!H$2:H$42)))</f>
        <v>2.1137918434771263E-2</v>
      </c>
      <c r="H10" s="1">
        <f>((Feuil1archive!J10-MIN(Feuil1archive!J$2:J$42))/(MAX(Feuil1archive!J$2:J$42) - MIN(Feuil1archive!J$2:J$42)))</f>
        <v>0.34899328859060402</v>
      </c>
      <c r="I10" s="1">
        <f>((Feuil1archive!K10-MIN(Feuil1archive!K$2:K$42))/(MAX(Feuil1archive!K$2:K$42) - MIN(Feuil1archive!K$2:K$42)))</f>
        <v>0.23323519790644423</v>
      </c>
      <c r="J10" s="1">
        <f>((Feuil1archive!L10-MIN(Feuil1archive!L$2:L$42))/(MAX(Feuil1archive!L$2:L$42) - MIN(Feuil1archive!L$2:L$42)))</f>
        <v>0.18498886886462418</v>
      </c>
      <c r="K10" s="1">
        <f>((Feuil1archive!M10-MIN(Feuil1archive!M$2:M$42))/(MAX(Feuil1archive!M$2:M$42) - MIN(Feuil1archive!M$2:M$42)))</f>
        <v>0.29729353649203372</v>
      </c>
      <c r="L10" s="1">
        <f>((Feuil1archive!N10-MIN(Feuil1archive!N$2:N$42))/(MAX(Feuil1archive!N$2:N$42) - MIN(Feuil1archive!N$2:N$42)))</f>
        <v>0.3967696629213483</v>
      </c>
      <c r="M10" s="1">
        <f>((Feuil1archive!O10-MIN(Feuil1archive!O$2:O$42))/(MAX(Feuil1archive!O$2:O$42) - MIN(Feuil1archive!O$2:O$42)))</f>
        <v>0.52007932573128413</v>
      </c>
      <c r="N10" s="1">
        <f>((Feuil1archive!P10-MIN(Feuil1archive!P$2:P$42))/(MAX(Feuil1archive!P$2:P$42) - MIN(Feuil1archive!P$2:P$42)))</f>
        <v>0.67682926829268297</v>
      </c>
      <c r="O10" s="1">
        <f>((Feuil1archive!Q10-MIN(Feuil1archive!Q$2:Q$42))/(MAX(Feuil1archive!Q$2:Q$42) - MIN(Feuil1archive!Q$2:Q$42)))</f>
        <v>0.60794297352342164</v>
      </c>
    </row>
    <row r="11" spans="1:15" x14ac:dyDescent="0.3">
      <c r="A11" s="31" t="s">
        <v>20</v>
      </c>
      <c r="B11" s="1">
        <f>((Feuil1archive!B11-MIN(Feuil1archive!B$2:B$42))/(MAX(Feuil1archive!B$2:B$42) - MIN(Feuil1archive!B$2:B$42)))</f>
        <v>0.4405125547737232</v>
      </c>
      <c r="C11" s="1">
        <f>((Feuil1archive!C11-MIN(Feuil1archive!C$2:C$42))/(MAX(Feuil1archive!C$2:C$42) - MIN(Feuil1archive!C$2:C$42)))</f>
        <v>0.53239808460341731</v>
      </c>
      <c r="D11" s="1">
        <f>((Feuil1archive!D11-MIN(Feuil1archive!D$2:D$42))/(MAX(Feuil1archive!D$2:D$42) - MIN(Feuil1archive!D$2:D$42)))</f>
        <v>0.38831712683653913</v>
      </c>
      <c r="E11" s="1">
        <f>((Feuil1archive!E11-MIN(Feuil1archive!E$2:E$42))/(MAX(Feuil1archive!E$2:E$42) - MIN(Feuil1archive!E$2:E$42)))</f>
        <v>0.366784296426996</v>
      </c>
      <c r="F11" s="1">
        <f>((Feuil1archive!G11-MIN(Feuil1archive!G$2:G$42))/(MAX(Feuil1archive!G$2:G$42) - MIN(Feuil1archive!G$2:G$42)))</f>
        <v>0.47192280256796387</v>
      </c>
      <c r="G11" s="1">
        <f>((Feuil1archive!H11-MIN(Feuil1archive!H$2:H$42))/(MAX(Feuil1archive!H$2:H$42) - MIN(Feuil1archive!H$2:H$42)))</f>
        <v>2.1137918434771263E-2</v>
      </c>
      <c r="H11" s="1">
        <f>((Feuil1archive!J11-MIN(Feuil1archive!J$2:J$42))/(MAX(Feuil1archive!J$2:J$42) - MIN(Feuil1archive!J$2:J$42)))</f>
        <v>0.34899328859060402</v>
      </c>
      <c r="I11" s="1">
        <f>((Feuil1archive!K11-MIN(Feuil1archive!K$2:K$42))/(MAX(Feuil1archive!K$2:K$42) - MIN(Feuil1archive!K$2:K$42)))</f>
        <v>0.23045469414458619</v>
      </c>
      <c r="J11" s="1">
        <f>((Feuil1archive!L11-MIN(Feuil1archive!L$2:L$42))/(MAX(Feuil1archive!L$2:L$42) - MIN(Feuil1archive!L$2:L$42)))</f>
        <v>0.178628220078448</v>
      </c>
      <c r="K11" s="1">
        <f>((Feuil1archive!M11-MIN(Feuil1archive!M$2:M$42))/(MAX(Feuil1archive!M$2:M$42) - MIN(Feuil1archive!M$2:M$42)))</f>
        <v>0.29729353649203372</v>
      </c>
      <c r="L11" s="1">
        <f>((Feuil1archive!N11-MIN(Feuil1archive!N$2:N$42))/(MAX(Feuil1archive!N$2:N$42) - MIN(Feuil1archive!N$2:N$42)))</f>
        <v>0.3967696629213483</v>
      </c>
      <c r="M11" s="1">
        <f>((Feuil1archive!O11-MIN(Feuil1archive!O$2:O$42))/(MAX(Feuil1archive!O$2:O$42) - MIN(Feuil1archive!O$2:O$42)))</f>
        <v>0.51859196826970744</v>
      </c>
      <c r="N11" s="1">
        <f>((Feuil1archive!P11-MIN(Feuil1archive!P$2:P$42))/(MAX(Feuil1archive!P$2:P$42) - MIN(Feuil1archive!P$2:P$42)))</f>
        <v>0.67</v>
      </c>
      <c r="O11" s="1">
        <f>((Feuil1archive!Q11-MIN(Feuil1archive!Q$2:Q$42))/(MAX(Feuil1archive!Q$2:Q$42) - MIN(Feuil1archive!Q$2:Q$42)))</f>
        <v>0.60183299389002032</v>
      </c>
    </row>
    <row r="12" spans="1:15" x14ac:dyDescent="0.3">
      <c r="A12" s="31" t="s">
        <v>23</v>
      </c>
      <c r="B12" s="1">
        <f>((Feuil1archive!B13-MIN(Feuil1archive!B$2:B$42))/(MAX(Feuil1archive!B$2:B$42) - MIN(Feuil1archive!B$2:B$42)))</f>
        <v>0.55184412443862618</v>
      </c>
      <c r="C12" s="1">
        <f>((Feuil1archive!C13-MIN(Feuil1archive!C$2:C$42))/(MAX(Feuil1archive!C$2:C$42) - MIN(Feuil1archive!C$2:C$42)))</f>
        <v>0.51205878193169496</v>
      </c>
      <c r="D12" s="1">
        <f>((Feuil1archive!D13-MIN(Feuil1archive!D$2:D$42))/(MAX(Feuil1archive!D$2:D$42) - MIN(Feuil1archive!D$2:D$42)))</f>
        <v>0.49355288996143565</v>
      </c>
      <c r="E12" s="1">
        <f>((Feuil1archive!E13-MIN(Feuil1archive!E$2:E$42))/(MAX(Feuil1archive!E$2:E$42) - MIN(Feuil1archive!E$2:E$42)))</f>
        <v>0.50526883301475278</v>
      </c>
      <c r="F12" s="1">
        <f>((Feuil1archive!G13-MIN(Feuil1archive!G$2:G$42))/(MAX(Feuil1archive!G$2:G$42) - MIN(Feuil1archive!G$2:G$42)))</f>
        <v>0.55407386858999763</v>
      </c>
      <c r="G12" s="1">
        <f>((Feuil1archive!H13-MIN(Feuil1archive!H$2:H$42))/(MAX(Feuil1archive!H$2:H$42) - MIN(Feuil1archive!H$2:H$42)))</f>
        <v>0.26333432628234699</v>
      </c>
      <c r="H12" s="1">
        <f>((Feuil1archive!J13-MIN(Feuil1archive!J$2:J$42))/(MAX(Feuil1archive!J$2:J$42) - MIN(Feuil1archive!J$2:J$42)))</f>
        <v>0.93288590604026844</v>
      </c>
      <c r="I12" s="1">
        <f>((Feuil1archive!K13-MIN(Feuil1archive!K$2:K$42))/(MAX(Feuil1archive!K$2:K$42) - MIN(Feuil1archive!K$2:K$42)))</f>
        <v>1.3738959764474975E-2</v>
      </c>
      <c r="J12" s="1">
        <f>((Feuil1archive!L13-MIN(Feuil1archive!L$2:L$42))/(MAX(Feuil1archive!L$2:L$42) - MIN(Feuil1archive!L$2:L$42)))</f>
        <v>0.5838015477578713</v>
      </c>
      <c r="K12" s="1">
        <f>((Feuil1archive!M13-MIN(Feuil1archive!M$2:M$42))/(MAX(Feuil1archive!M$2:M$42) - MIN(Feuil1archive!M$2:M$42)))</f>
        <v>0.54498017115424757</v>
      </c>
      <c r="L12" s="1">
        <f>((Feuil1archive!N13-MIN(Feuil1archive!N$2:N$42))/(MAX(Feuil1archive!N$2:N$42) - MIN(Feuil1archive!N$2:N$42)))</f>
        <v>0.49297752808988765</v>
      </c>
      <c r="M12" s="1">
        <f>((Feuil1archive!O13-MIN(Feuil1archive!O$2:O$42))/(MAX(Feuil1archive!O$2:O$42) - MIN(Feuil1archive!O$2:O$42)))</f>
        <v>0.41249380267724345</v>
      </c>
      <c r="N12" s="1">
        <f>((Feuil1archive!P13-MIN(Feuil1archive!P$2:P$42))/(MAX(Feuil1archive!P$2:P$42) - MIN(Feuil1archive!P$2:P$42)))</f>
        <v>0.34780487804878046</v>
      </c>
      <c r="O12" s="1">
        <f>((Feuil1archive!Q13-MIN(Feuil1archive!Q$2:Q$42))/(MAX(Feuil1archive!Q$2:Q$42) - MIN(Feuil1archive!Q$2:Q$42)))</f>
        <v>0.68024439918533608</v>
      </c>
    </row>
    <row r="13" spans="1:15" x14ac:dyDescent="0.3">
      <c r="A13" s="31" t="s">
        <v>28</v>
      </c>
      <c r="B13" s="1">
        <f>((Feuil1archive!B14-MIN(Feuil1archive!B$2:B$42))/(MAX(Feuil1archive!B$2:B$42) - MIN(Feuil1archive!B$2:B$42)))</f>
        <v>0.56317387588865253</v>
      </c>
      <c r="C13" s="1">
        <f>((Feuil1archive!C14-MIN(Feuil1archive!C$2:C$42))/(MAX(Feuil1archive!C$2:C$42) - MIN(Feuil1archive!C$2:C$42)))</f>
        <v>0.37177147244428582</v>
      </c>
      <c r="D13" s="1">
        <f>((Feuil1archive!D14-MIN(Feuil1archive!D$2:D$42))/(MAX(Feuil1archive!D$2:D$42) - MIN(Feuil1archive!D$2:D$42)))</f>
        <v>0.43352970402441621</v>
      </c>
      <c r="E13" s="1">
        <f>((Feuil1archive!E14-MIN(Feuil1archive!E$2:E$42))/(MAX(Feuil1archive!E$2:E$42) - MIN(Feuil1archive!E$2:E$42)))</f>
        <v>0.6429201588001765</v>
      </c>
      <c r="F13" s="1">
        <f>((Feuil1archive!G14-MIN(Feuil1archive!G$2:G$42))/(MAX(Feuil1archive!G$2:G$42) - MIN(Feuil1archive!G$2:G$42)))</f>
        <v>0.46253071253071254</v>
      </c>
      <c r="G13" s="1">
        <f>((Feuil1archive!H14-MIN(Feuil1archive!H$2:H$42))/(MAX(Feuil1archive!H$2:H$42) - MIN(Feuil1archive!H$2:H$42)))</f>
        <v>0.31604102905278791</v>
      </c>
      <c r="H13" s="1">
        <f>((Feuil1archive!J14-MIN(Feuil1archive!J$2:J$42))/(MAX(Feuil1archive!J$2:J$42) - MIN(Feuil1archive!J$2:J$42)))</f>
        <v>0.34228187919463088</v>
      </c>
      <c r="I13" s="1">
        <f>((Feuil1archive!K14-MIN(Feuil1archive!K$2:K$42))/(MAX(Feuil1archive!K$2:K$42) - MIN(Feuil1archive!K$2:K$42)))</f>
        <v>0.54072620215897937</v>
      </c>
      <c r="J13" s="1">
        <f>((Feuil1archive!L14-MIN(Feuil1archive!L$2:L$42))/(MAX(Feuil1archive!L$2:L$42) - MIN(Feuil1archive!L$2:L$42)))</f>
        <v>0.20491890172797625</v>
      </c>
      <c r="K13" s="1">
        <f>((Feuil1archive!M14-MIN(Feuil1archive!M$2:M$42))/(MAX(Feuil1archive!M$2:M$42) - MIN(Feuil1archive!M$2:M$42)))</f>
        <v>0.19084394350518336</v>
      </c>
      <c r="L13" s="1">
        <f>((Feuil1archive!N14-MIN(Feuil1archive!N$2:N$42))/(MAX(Feuil1archive!N$2:N$42) - MIN(Feuil1archive!N$2:N$42)))</f>
        <v>0.12008426966292135</v>
      </c>
      <c r="M13" s="1">
        <f>((Feuil1archive!O14-MIN(Feuil1archive!O$2:O$42))/(MAX(Feuil1archive!O$2:O$42) - MIN(Feuil1archive!O$2:O$42)))</f>
        <v>0</v>
      </c>
      <c r="N13" s="1">
        <f>((Feuil1archive!P14-MIN(Feuil1archive!P$2:P$42))/(MAX(Feuil1archive!P$2:P$42) - MIN(Feuil1archive!P$2:P$42)))</f>
        <v>0.27219512195121953</v>
      </c>
      <c r="O13" s="1">
        <f>((Feuil1archive!Q14-MIN(Feuil1archive!Q$2:Q$42))/(MAX(Feuil1archive!Q$2:Q$42) - MIN(Feuil1archive!Q$2:Q$42)))</f>
        <v>0</v>
      </c>
    </row>
    <row r="14" spans="1:15" x14ac:dyDescent="0.3">
      <c r="A14" s="31" t="s">
        <v>30</v>
      </c>
      <c r="B14" s="1">
        <f>((Feuil1archive!B15-MIN(Feuil1archive!B$2:B$42))/(MAX(Feuil1archive!B$2:B$42) - MIN(Feuil1archive!B$2:B$42)))</f>
        <v>0.24980454190076187</v>
      </c>
      <c r="C14" s="1">
        <f>((Feuil1archive!C15-MIN(Feuil1archive!C$2:C$42))/(MAX(Feuil1archive!C$2:C$42) - MIN(Feuil1archive!C$2:C$42)))</f>
        <v>0.3403869855402375</v>
      </c>
      <c r="D14" s="1">
        <f>((Feuil1archive!D15-MIN(Feuil1archive!D$2:D$42))/(MAX(Feuil1archive!D$2:D$42) - MIN(Feuil1archive!D$2:D$42)))</f>
        <v>1.8477772257316581E-2</v>
      </c>
      <c r="E14" s="1">
        <f>((Feuil1archive!E15-MIN(Feuil1archive!E$2:E$42))/(MAX(Feuil1archive!E$2:E$42) - MIN(Feuil1archive!E$2:E$42)))</f>
        <v>0.40846934274371416</v>
      </c>
      <c r="F14" s="1">
        <f>((Feuil1archive!G15-MIN(Feuil1archive!G$2:G$42))/(MAX(Feuil1archive!G$2:G$42) - MIN(Feuil1archive!G$2:G$42)))</f>
        <v>0.10569073472299279</v>
      </c>
      <c r="G14" s="1">
        <f>((Feuil1archive!H15-MIN(Feuil1archive!H$2:H$42))/(MAX(Feuil1archive!H$2:H$42) - MIN(Feuil1archive!H$2:H$42)))</f>
        <v>1</v>
      </c>
      <c r="H14" s="1">
        <f>((Feuil1archive!J15-MIN(Feuil1archive!J$2:J$42))/(MAX(Feuil1archive!J$2:J$42) - MIN(Feuil1archive!J$2:J$42)))</f>
        <v>0.34228187919463088</v>
      </c>
      <c r="I14" s="1">
        <f>((Feuil1archive!K15-MIN(Feuil1archive!K$2:K$42))/(MAX(Feuil1archive!K$2:K$42) - MIN(Feuil1archive!K$2:K$42)))</f>
        <v>0.32548249918220479</v>
      </c>
      <c r="J14" s="1">
        <f>((Feuil1archive!L15-MIN(Feuil1archive!L$2:L$42))/(MAX(Feuil1archive!L$2:L$42) - MIN(Feuil1archive!L$2:L$42)))</f>
        <v>0.15488179794339021</v>
      </c>
      <c r="K14" s="1">
        <f>((Feuil1archive!M15-MIN(Feuil1archive!M$2:M$42))/(MAX(Feuil1archive!M$2:M$42) - MIN(Feuil1archive!M$2:M$42)))</f>
        <v>0.42809434356084325</v>
      </c>
      <c r="L14" s="1">
        <f>((Feuil1archive!N15-MIN(Feuil1archive!N$2:N$42))/(MAX(Feuil1archive!N$2:N$42) - MIN(Feuil1archive!N$2:N$42)))</f>
        <v>2.5280898876404494E-2</v>
      </c>
      <c r="M14" s="1">
        <f>((Feuil1archive!O15-MIN(Feuil1archive!O$2:O$42))/(MAX(Feuil1archive!O$2:O$42) - MIN(Feuil1archive!O$2:O$42)))</f>
        <v>0.30788299454635598</v>
      </c>
      <c r="N14" s="1">
        <f>((Feuil1archive!P15-MIN(Feuil1archive!P$2:P$42))/(MAX(Feuil1archive!P$2:P$42) - MIN(Feuil1archive!P$2:P$42)))</f>
        <v>0.16390243902439025</v>
      </c>
      <c r="O14" s="1">
        <f>((Feuil1archive!Q15-MIN(Feuil1archive!Q$2:Q$42))/(MAX(Feuil1archive!Q$2:Q$42) - MIN(Feuil1archive!Q$2:Q$42)))</f>
        <v>0.35794297352342158</v>
      </c>
    </row>
    <row r="15" spans="1:15" x14ac:dyDescent="0.3">
      <c r="A15" s="31" t="s">
        <v>31</v>
      </c>
      <c r="B15" s="1">
        <f>((Feuil1archive!B16-MIN(Feuil1archive!B$2:B$42))/(MAX(Feuil1archive!B$2:B$42) - MIN(Feuil1archive!B$2:B$42)))</f>
        <v>0.46391070746740853</v>
      </c>
      <c r="C15" s="1">
        <f>((Feuil1archive!C16-MIN(Feuil1archive!C$2:C$42))/(MAX(Feuil1archive!C$2:C$42) - MIN(Feuil1archive!C$2:C$42)))</f>
        <v>0.43662825546702949</v>
      </c>
      <c r="D15" s="1">
        <f>((Feuil1archive!D16-MIN(Feuil1archive!D$2:D$42))/(MAX(Feuil1archive!D$2:D$42) - MIN(Feuil1archive!D$2:D$42)))</f>
        <v>0.30995812335864859</v>
      </c>
      <c r="E15" s="1">
        <f>((Feuil1archive!E16-MIN(Feuil1archive!E$2:E$42))/(MAX(Feuil1archive!E$2:E$42) - MIN(Feuil1archive!E$2:E$42)))</f>
        <v>0.53325491349311371</v>
      </c>
      <c r="F15" s="1">
        <f>((Feuil1archive!G16-MIN(Feuil1archive!G$2:G$42))/(MAX(Feuil1archive!G$2:G$42) - MIN(Feuil1archive!G$2:G$42)))</f>
        <v>0.37812078941111199</v>
      </c>
      <c r="G15" s="1">
        <f>((Feuil1archive!H16-MIN(Feuil1archive!H$2:H$42))/(MAX(Feuil1archive!H$2:H$42) - MIN(Feuil1archive!H$2:H$42)))</f>
        <v>0.56245086408085843</v>
      </c>
      <c r="H15" s="1">
        <f>((Feuil1archive!J16-MIN(Feuil1archive!J$2:J$42))/(MAX(Feuil1archive!J$2:J$42) - MIN(Feuil1archive!J$2:J$42)))</f>
        <v>0.93288590604026844</v>
      </c>
      <c r="I15" s="1">
        <f>((Feuil1archive!K16-MIN(Feuil1archive!K$2:K$42))/(MAX(Feuil1archive!K$2:K$42) - MIN(Feuil1archive!K$2:K$42)))</f>
        <v>0.10827608766764803</v>
      </c>
      <c r="J15" s="1">
        <f>((Feuil1archive!L16-MIN(Feuil1archive!L$2:L$42))/(MAX(Feuil1archive!L$2:L$42) - MIN(Feuil1archive!L$2:L$42)))</f>
        <v>0.44725962048128909</v>
      </c>
      <c r="K15" s="1">
        <f>((Feuil1archive!M16-MIN(Feuil1archive!M$2:M$42))/(MAX(Feuil1archive!M$2:M$42) - MIN(Feuil1archive!M$2:M$42)))</f>
        <v>0.23815487372156127</v>
      </c>
      <c r="L15" s="1">
        <f>((Feuil1archive!N16-MIN(Feuil1archive!N$2:N$42))/(MAX(Feuil1archive!N$2:N$42) - MIN(Feuil1archive!N$2:N$42)))</f>
        <v>2.8089887640449437E-2</v>
      </c>
      <c r="M15" s="1">
        <f>((Feuil1archive!O16-MIN(Feuil1archive!O$2:O$42))/(MAX(Feuil1archive!O$2:O$42) - MIN(Feuil1archive!O$2:O$42)))</f>
        <v>0.18294496777392166</v>
      </c>
      <c r="N15" s="1">
        <f>((Feuil1archive!P16-MIN(Feuil1archive!P$2:P$42))/(MAX(Feuil1archive!P$2:P$42) - MIN(Feuil1archive!P$2:P$42)))</f>
        <v>0.54902439024390248</v>
      </c>
      <c r="O15" s="1">
        <f>((Feuil1archive!Q16-MIN(Feuil1archive!Q$2:Q$42))/(MAX(Feuil1archive!Q$2:Q$42) - MIN(Feuil1archive!Q$2:Q$42)))</f>
        <v>0.52087576374745415</v>
      </c>
    </row>
    <row r="16" spans="1:15" x14ac:dyDescent="0.3">
      <c r="A16" s="31" t="s">
        <v>32</v>
      </c>
      <c r="B16" s="1">
        <f>((Feuil1archive!B17-MIN(Feuil1archive!B$2:B$42))/(MAX(Feuil1archive!B$2:B$42) - MIN(Feuil1archive!B$2:B$42)))</f>
        <v>0.87356588301605487</v>
      </c>
      <c r="C16" s="1">
        <f>((Feuil1archive!C17-MIN(Feuil1archive!C$2:C$42))/(MAX(Feuil1archive!C$2:C$42) - MIN(Feuil1archive!C$2:C$42)))</f>
        <v>0.58607498602514796</v>
      </c>
      <c r="D16" s="1">
        <f>((Feuil1archive!D17-MIN(Feuil1archive!D$2:D$42))/(MAX(Feuil1archive!D$2:D$42) - MIN(Feuil1archive!D$2:D$42)))</f>
        <v>1</v>
      </c>
      <c r="E16" s="1">
        <f>((Feuil1archive!E17-MIN(Feuil1archive!E$2:E$42))/(MAX(Feuil1archive!E$2:E$42) - MIN(Feuil1archive!E$2:E$42)))</f>
        <v>0.64755183061314514</v>
      </c>
      <c r="F16" s="1">
        <f>((Feuil1archive!G17-MIN(Feuil1archive!G$2:G$42))/(MAX(Feuil1archive!G$2:G$42) - MIN(Feuil1archive!G$2:G$42)))</f>
        <v>1</v>
      </c>
      <c r="G16" s="1">
        <f>((Feuil1archive!H17-MIN(Feuil1archive!H$2:H$42))/(MAX(Feuil1archive!H$2:H$42) - MIN(Feuil1archive!H$2:H$42)))</f>
        <v>5.2901866368993591E-2</v>
      </c>
      <c r="H16" s="1">
        <f>((Feuil1archive!J17-MIN(Feuil1archive!J$2:J$42))/(MAX(Feuil1archive!J$2:J$42) - MIN(Feuil1archive!J$2:J$42)))</f>
        <v>0.93288590604026844</v>
      </c>
      <c r="I16" s="1">
        <f>((Feuil1archive!K17-MIN(Feuil1archive!K$2:K$42))/(MAX(Feuil1archive!K$2:K$42) - MIN(Feuil1archive!K$2:K$42)))</f>
        <v>0.32401046777886816</v>
      </c>
      <c r="J16" s="1">
        <f>((Feuil1archive!L17-MIN(Feuil1archive!L$2:L$42))/(MAX(Feuil1archive!L$2:L$42) - MIN(Feuil1archive!L$2:L$42)))</f>
        <v>0.33361602883494118</v>
      </c>
      <c r="K16" s="1">
        <f>((Feuil1archive!M17-MIN(Feuil1archive!M$2:M$42))/(MAX(Feuil1archive!M$2:M$42) - MIN(Feuil1archive!M$2:M$42)))</f>
        <v>0.14631600918388646</v>
      </c>
      <c r="L16" s="1">
        <f>((Feuil1archive!N17-MIN(Feuil1archive!N$2:N$42))/(MAX(Feuil1archive!N$2:N$42) - MIN(Feuil1archive!N$2:N$42)))</f>
        <v>8.1460674157303375E-2</v>
      </c>
      <c r="M16" s="1">
        <f>((Feuil1archive!O17-MIN(Feuil1archive!O$2:O$42))/(MAX(Feuil1archive!O$2:O$42) - MIN(Feuil1archive!O$2:O$42)))</f>
        <v>0.57907783837382254</v>
      </c>
      <c r="N16" s="1">
        <f>((Feuil1archive!P17-MIN(Feuil1archive!P$2:P$42))/(MAX(Feuil1archive!P$2:P$42) - MIN(Feuil1archive!P$2:P$42)))</f>
        <v>0.59243902439024387</v>
      </c>
      <c r="O16" s="1">
        <f>((Feuil1archive!Q17-MIN(Feuil1archive!Q$2:Q$42))/(MAX(Feuil1archive!Q$2:Q$42) - MIN(Feuil1archive!Q$2:Q$42)))</f>
        <v>0.78309572301425667</v>
      </c>
    </row>
    <row r="17" spans="1:15" x14ac:dyDescent="0.3">
      <c r="A17" s="31" t="s">
        <v>36</v>
      </c>
      <c r="B17" s="1">
        <f>((Feuil1archive!B18-MIN(Feuil1archive!B$2:B$42))/(MAX(Feuil1archive!B$2:B$42) - MIN(Feuil1archive!B$2:B$42)))</f>
        <v>0.36881806941944401</v>
      </c>
      <c r="C17" s="1">
        <f>((Feuil1archive!C18-MIN(Feuil1archive!C$2:C$42))/(MAX(Feuil1archive!C$2:C$42) - MIN(Feuil1archive!C$2:C$42)))</f>
        <v>0.69612273624234755</v>
      </c>
      <c r="D17" s="1">
        <f>((Feuil1archive!D18-MIN(Feuil1archive!D$2:D$42))/(MAX(Feuil1archive!D$2:D$42) - MIN(Feuil1archive!D$2:D$42)))</f>
        <v>1.180590058438025E-2</v>
      </c>
      <c r="E17" s="1">
        <f>((Feuil1archive!E18-MIN(Feuil1archive!E$2:E$42))/(MAX(Feuil1archive!E$2:E$42) - MIN(Feuil1archive!E$2:E$42)))</f>
        <v>0.54259177571925699</v>
      </c>
      <c r="F17" s="1">
        <f>((Feuil1archive!G18-MIN(Feuil1archive!G$2:G$42))/(MAX(Feuil1archive!G$2:G$42) - MIN(Feuil1archive!G$2:G$42)))</f>
        <v>0.20476341444083379</v>
      </c>
      <c r="G17" s="1">
        <f>((Feuil1archive!H18-MIN(Feuil1archive!H$2:H$42))/(MAX(Feuil1archive!H$2:H$42) - MIN(Feuil1archive!H$2:H$42)))</f>
        <v>0.74648709464123708</v>
      </c>
      <c r="H17" s="1">
        <f>((Feuil1archive!J18-MIN(Feuil1archive!J$2:J$42))/(MAX(Feuil1archive!J$2:J$42) - MIN(Feuil1archive!J$2:J$42)))</f>
        <v>0.34228187919463088</v>
      </c>
      <c r="I17" s="1">
        <f>((Feuil1archive!K18-MIN(Feuil1archive!K$2:K$42))/(MAX(Feuil1archive!K$2:K$42) - MIN(Feuil1archive!K$2:K$42)))</f>
        <v>0.25580634609093883</v>
      </c>
      <c r="J17" s="1">
        <f>((Feuil1archive!L18-MIN(Feuil1archive!L$2:L$42))/(MAX(Feuil1archive!L$2:L$42) - MIN(Feuil1archive!L$2:L$42)))</f>
        <v>0.46061698293225911</v>
      </c>
      <c r="K17" s="1">
        <f>((Feuil1archive!M18-MIN(Feuil1archive!M$2:M$42))/(MAX(Feuil1archive!M$2:M$42) - MIN(Feuil1archive!M$2:M$42)))</f>
        <v>0.29729353649203372</v>
      </c>
      <c r="L17" s="1">
        <f>((Feuil1archive!N18-MIN(Feuil1archive!N$2:N$42))/(MAX(Feuil1archive!N$2:N$42) - MIN(Feuil1archive!N$2:N$42)))</f>
        <v>0.3967696629213483</v>
      </c>
      <c r="M17" s="1">
        <f>((Feuil1archive!O18-MIN(Feuil1archive!O$2:O$42))/(MAX(Feuil1archive!O$2:O$42) - MIN(Feuil1archive!O$2:O$42)))</f>
        <v>0.53148239960337129</v>
      </c>
      <c r="N17" s="1">
        <f>((Feuil1archive!P18-MIN(Feuil1archive!P$2:P$42))/(MAX(Feuil1archive!P$2:P$42) - MIN(Feuil1archive!P$2:P$42)))</f>
        <v>0.81487804878048775</v>
      </c>
      <c r="O17" s="1">
        <f>((Feuil1archive!Q18-MIN(Feuil1archive!Q$2:Q$42))/(MAX(Feuil1archive!Q$2:Q$42) - MIN(Feuil1archive!Q$2:Q$42)))</f>
        <v>0.76782077393075354</v>
      </c>
    </row>
    <row r="18" spans="1:15" x14ac:dyDescent="0.3">
      <c r="A18" s="31" t="s">
        <v>37</v>
      </c>
      <c r="B18" s="1">
        <f>((Feuil1archive!B19-MIN(Feuil1archive!B$2:B$42))/(MAX(Feuil1archive!B$2:B$42) - MIN(Feuil1archive!B$2:B$42)))</f>
        <v>0.34805632829687816</v>
      </c>
      <c r="C18" s="1">
        <f>((Feuil1archive!C19-MIN(Feuil1archive!C$2:C$42))/(MAX(Feuil1archive!C$2:C$42) - MIN(Feuil1archive!C$2:C$42)))</f>
        <v>0.68440406516658703</v>
      </c>
      <c r="D18" s="1">
        <f>((Feuil1archive!D19-MIN(Feuil1archive!D$2:D$42))/(MAX(Feuil1archive!D$2:D$42) - MIN(Feuil1archive!D$2:D$42)))</f>
        <v>1.180590058438025E-2</v>
      </c>
      <c r="E18" s="1">
        <f>((Feuil1archive!E19-MIN(Feuil1archive!E$2:E$42))/(MAX(Feuil1archive!E$2:E$42) - MIN(Feuil1archive!E$2:E$42)))</f>
        <v>0.50208302700583252</v>
      </c>
      <c r="F18" s="1">
        <f>((Feuil1archive!G19-MIN(Feuil1archive!G$2:G$42))/(MAX(Feuil1archive!G$2:G$42) - MIN(Feuil1archive!G$2:G$42)))</f>
        <v>0.20131568518665294</v>
      </c>
      <c r="G18" s="1">
        <f>((Feuil1archive!H19-MIN(Feuil1archive!H$2:H$42))/(MAX(Feuil1archive!H$2:H$42) - MIN(Feuil1archive!H$2:H$42)))</f>
        <v>0.66370757204381825</v>
      </c>
      <c r="H18" s="1">
        <f>((Feuil1archive!J19-MIN(Feuil1archive!J$2:J$42))/(MAX(Feuil1archive!J$2:J$42) - MIN(Feuil1archive!J$2:J$42)))</f>
        <v>0.26845637583892618</v>
      </c>
      <c r="I18" s="1">
        <f>((Feuil1archive!K19-MIN(Feuil1archive!K$2:K$42))/(MAX(Feuil1archive!K$2:K$42) - MIN(Feuil1archive!K$2:K$42)))</f>
        <v>0.2508995747464835</v>
      </c>
      <c r="J18" s="1">
        <f>((Feuil1archive!L19-MIN(Feuil1archive!L$2:L$42))/(MAX(Feuil1archive!L$2:L$42) - MIN(Feuil1archive!L$2:L$42)))</f>
        <v>0.44407929608820101</v>
      </c>
      <c r="K18" s="1">
        <f>((Feuil1archive!M19-MIN(Feuil1archive!M$2:M$42))/(MAX(Feuil1archive!M$2:M$42) - MIN(Feuil1archive!M$2:M$42)))</f>
        <v>0.29729353649203372</v>
      </c>
      <c r="L18" s="1">
        <f>((Feuil1archive!N19-MIN(Feuil1archive!N$2:N$42))/(MAX(Feuil1archive!N$2:N$42) - MIN(Feuil1archive!N$2:N$42)))</f>
        <v>0.3967696629213483</v>
      </c>
      <c r="M18" s="1">
        <f>((Feuil1archive!O19-MIN(Feuil1archive!O$2:O$42))/(MAX(Feuil1archive!O$2:O$42) - MIN(Feuil1archive!O$2:O$42)))</f>
        <v>0.52850768468021814</v>
      </c>
      <c r="N18" s="1">
        <f>((Feuil1archive!P19-MIN(Feuil1archive!P$2:P$42))/(MAX(Feuil1archive!P$2:P$42) - MIN(Feuil1archive!P$2:P$42)))</f>
        <v>0.8063414634146342</v>
      </c>
      <c r="O18" s="1">
        <f>((Feuil1archive!Q19-MIN(Feuil1archive!Q$2:Q$42))/(MAX(Feuil1archive!Q$2:Q$42) - MIN(Feuil1archive!Q$2:Q$42)))</f>
        <v>0.75509164969450104</v>
      </c>
    </row>
    <row r="19" spans="1:15" x14ac:dyDescent="0.3">
      <c r="A19" s="31" t="s">
        <v>38</v>
      </c>
      <c r="B19" s="1">
        <f>((Feuil1archive!B20-MIN(Feuil1archive!B$2:B$42))/(MAX(Feuil1archive!B$2:B$42) - MIN(Feuil1archive!B$2:B$42)))</f>
        <v>0.27023673157693778</v>
      </c>
      <c r="C19" s="1">
        <f>((Feuil1archive!C20-MIN(Feuil1archive!C$2:C$42))/(MAX(Feuil1archive!C$2:C$42) - MIN(Feuil1archive!C$2:C$42)))</f>
        <v>0.53845946619432794</v>
      </c>
      <c r="D19" s="1">
        <f>((Feuil1archive!D20-MIN(Feuil1archive!D$2:D$42))/(MAX(Feuil1archive!D$2:D$42) - MIN(Feuil1archive!D$2:D$42)))</f>
        <v>1.180590058438025E-2</v>
      </c>
      <c r="E19" s="1">
        <f>((Feuil1archive!E20-MIN(Feuil1archive!E$2:E$42))/(MAX(Feuil1archive!E$2:E$42) - MIN(Feuil1archive!E$2:E$42)))</f>
        <v>0.38736950448463459</v>
      </c>
      <c r="F19" s="1">
        <f>((Feuil1archive!G20-MIN(Feuil1archive!G$2:G$42))/(MAX(Feuil1archive!G$2:G$42) - MIN(Feuil1archive!G$2:G$42)))</f>
        <v>0.15837758579694064</v>
      </c>
      <c r="G19" s="1">
        <f>((Feuil1archive!H20-MIN(Feuil1archive!H$2:H$42))/(MAX(Feuil1archive!H$2:H$42) - MIN(Feuil1archive!H$2:H$42)))</f>
        <v>0.65096898602251663</v>
      </c>
      <c r="H19" s="1">
        <f>((Feuil1archive!J20-MIN(Feuil1archive!J$2:J$42))/(MAX(Feuil1archive!J$2:J$42) - MIN(Feuil1archive!J$2:J$42)))</f>
        <v>0.26845637583892618</v>
      </c>
      <c r="I19" s="1">
        <f>((Feuil1archive!K20-MIN(Feuil1archive!K$2:K$42))/(MAX(Feuil1archive!K$2:K$42) - MIN(Feuil1archive!K$2:K$42)))</f>
        <v>0.23323519790644423</v>
      </c>
      <c r="J19" s="1">
        <f>((Feuil1archive!L20-MIN(Feuil1archive!L$2:L$42))/(MAX(Feuil1archive!L$2:L$42) - MIN(Feuil1archive!L$2:L$42)))</f>
        <v>0.18498886886462418</v>
      </c>
      <c r="K19" s="1">
        <f>((Feuil1archive!M20-MIN(Feuil1archive!M$2:M$42))/(MAX(Feuil1archive!M$2:M$42) - MIN(Feuil1archive!M$2:M$42)))</f>
        <v>0.29729353649203372</v>
      </c>
      <c r="L19" s="1">
        <f>((Feuil1archive!N20-MIN(Feuil1archive!N$2:N$42))/(MAX(Feuil1archive!N$2:N$42) - MIN(Feuil1archive!N$2:N$42)))</f>
        <v>0.3967696629213483</v>
      </c>
      <c r="M19" s="1">
        <f>((Feuil1archive!O20-MIN(Feuil1archive!O$2:O$42))/(MAX(Feuil1archive!O$2:O$42) - MIN(Feuil1archive!O$2:O$42)))</f>
        <v>0.52007932573128413</v>
      </c>
      <c r="N19" s="1">
        <f>((Feuil1archive!P20-MIN(Feuil1archive!P$2:P$42))/(MAX(Feuil1archive!P$2:P$42) - MIN(Feuil1archive!P$2:P$42)))</f>
        <v>0.67682926829268297</v>
      </c>
      <c r="O19" s="1">
        <f>((Feuil1archive!Q20-MIN(Feuil1archive!Q$2:Q$42))/(MAX(Feuil1archive!Q$2:Q$42) - MIN(Feuil1archive!Q$2:Q$42)))</f>
        <v>0.60794297352342164</v>
      </c>
    </row>
    <row r="20" spans="1:15" x14ac:dyDescent="0.3">
      <c r="A20" s="31" t="s">
        <v>39</v>
      </c>
      <c r="B20" s="1">
        <f>((Feuil1archive!B21-MIN(Feuil1archive!B$2:B$42))/(MAX(Feuil1archive!B$2:B$42) - MIN(Feuil1archive!B$2:B$42)))</f>
        <v>0.42296678121420395</v>
      </c>
      <c r="C20" s="1">
        <f>((Feuil1archive!C21-MIN(Feuil1archive!C$2:C$42))/(MAX(Feuil1archive!C$2:C$42) - MIN(Feuil1archive!C$2:C$42)))</f>
        <v>0.28960607754527518</v>
      </c>
      <c r="D20" s="1">
        <f>((Feuil1archive!D21-MIN(Feuil1archive!D$2:D$42))/(MAX(Feuil1archive!D$2:D$42) - MIN(Feuil1archive!D$2:D$42)))</f>
        <v>0.22107081174438686</v>
      </c>
      <c r="E20" s="1">
        <f>((Feuil1archive!E21-MIN(Feuil1archive!E$2:E$42))/(MAX(Feuil1archive!E$2:E$42) - MIN(Feuil1archive!E$2:E$42)))</f>
        <v>0.59052590305347252</v>
      </c>
      <c r="F20" s="1">
        <f>((Feuil1archive!G21-MIN(Feuil1archive!G$2:G$42))/(MAX(Feuil1archive!G$2:G$42) - MIN(Feuil1archive!G$2:G$42)))</f>
        <v>0.26042244590631686</v>
      </c>
      <c r="G20" s="1">
        <f>((Feuil1archive!H21-MIN(Feuil1archive!H$2:H$42))/(MAX(Feuil1archive!H$2:H$42) - MIN(Feuil1archive!H$2:H$42)))</f>
        <v>0.50196070297532491</v>
      </c>
      <c r="H20" s="1">
        <f>((Feuil1archive!J21-MIN(Feuil1archive!J$2:J$42))/(MAX(Feuil1archive!J$2:J$42) - MIN(Feuil1archive!J$2:J$42)))</f>
        <v>8.0536912751677847E-2</v>
      </c>
      <c r="I20" s="1">
        <f>((Feuil1archive!K21-MIN(Feuil1archive!K$2:K$42))/(MAX(Feuil1archive!K$2:K$42) - MIN(Feuil1archive!K$2:K$42)))</f>
        <v>9.1593065096499837E-2</v>
      </c>
      <c r="J20" s="1">
        <f>((Feuil1archive!L21-MIN(Feuil1archive!L$2:L$42))/(MAX(Feuil1archive!L$2:L$42) - MIN(Feuil1archive!L$2:L$42)))</f>
        <v>0.28909148733170781</v>
      </c>
      <c r="K20" s="1">
        <f>((Feuil1archive!M21-MIN(Feuil1archive!M$2:M$42))/(MAX(Feuil1archive!M$2:M$42) - MIN(Feuil1archive!M$2:M$42)))</f>
        <v>0.12544353997077856</v>
      </c>
      <c r="L20" s="1">
        <f>((Feuil1archive!N21-MIN(Feuil1archive!N$2:N$42))/(MAX(Feuil1archive!N$2:N$42) - MIN(Feuil1archive!N$2:N$42)))</f>
        <v>2.8089887640449437E-2</v>
      </c>
      <c r="M20" s="1">
        <f>((Feuil1archive!O21-MIN(Feuil1archive!O$2:O$42))/(MAX(Feuil1archive!O$2:O$42) - MIN(Feuil1archive!O$2:O$42)))</f>
        <v>0.14179474467030243</v>
      </c>
      <c r="N20" s="1">
        <f>((Feuil1archive!P21-MIN(Feuil1archive!P$2:P$42))/(MAX(Feuil1archive!P$2:P$42) - MIN(Feuil1archive!P$2:P$42)))</f>
        <v>0.3407317073170732</v>
      </c>
      <c r="O20" s="1">
        <f>((Feuil1archive!Q21-MIN(Feuil1archive!Q$2:Q$42))/(MAX(Feuil1archive!Q$2:Q$42) - MIN(Feuil1archive!Q$2:Q$42)))</f>
        <v>0.40071283095723015</v>
      </c>
    </row>
    <row r="21" spans="1:15" x14ac:dyDescent="0.3">
      <c r="A21" s="31" t="s">
        <v>40</v>
      </c>
      <c r="B21" s="1">
        <f>((Feuil1archive!B22-MIN(Feuil1archive!B$2:B$42))/(MAX(Feuil1archive!B$2:B$42) - MIN(Feuil1archive!B$2:B$42)))</f>
        <v>0.41809169257622869</v>
      </c>
      <c r="C21" s="1">
        <f>((Feuil1archive!C22-MIN(Feuil1archive!C$2:C$42))/(MAX(Feuil1archive!C$2:C$42) - MIN(Feuil1archive!C$2:C$42)))</f>
        <v>0.43858136731298958</v>
      </c>
      <c r="D21" s="1">
        <f>((Feuil1archive!D22-MIN(Feuil1archive!D$2:D$42))/(MAX(Feuil1archive!D$2:D$42) - MIN(Feuil1archive!D$2:D$42)))</f>
        <v>0.22241938155061869</v>
      </c>
      <c r="E21" s="1">
        <f>((Feuil1archive!E22-MIN(Feuil1archive!E$2:E$42))/(MAX(Feuil1archive!E$2:E$42) - MIN(Feuil1archive!E$2:E$42)))</f>
        <v>0.52440817526834294</v>
      </c>
      <c r="F21" s="1">
        <f>((Feuil1archive!G22-MIN(Feuil1archive!G$2:G$42))/(MAX(Feuil1archive!G$2:G$42) - MIN(Feuil1archive!G$2:G$42)))</f>
        <v>0.30538162796227314</v>
      </c>
      <c r="G21" s="1">
        <f>((Feuil1archive!H22-MIN(Feuil1archive!H$2:H$42))/(MAX(Feuil1archive!H$2:H$42) - MIN(Feuil1archive!H$2:H$42)))</f>
        <v>0.45713104565418461</v>
      </c>
      <c r="H21" s="1">
        <f>((Feuil1archive!J22-MIN(Feuil1archive!J$2:J$42))/(MAX(Feuil1archive!J$2:J$42) - MIN(Feuil1archive!J$2:J$42)))</f>
        <v>0.34899328859060402</v>
      </c>
      <c r="I21" s="1">
        <f>((Feuil1archive!K22-MIN(Feuil1archive!K$2:K$42))/(MAX(Feuil1archive!K$2:K$42) - MIN(Feuil1archive!K$2:K$42)))</f>
        <v>0.14785737651292116</v>
      </c>
      <c r="J21" s="1">
        <f>((Feuil1archive!L22-MIN(Feuil1archive!L$2:L$42))/(MAX(Feuil1archive!L$2:L$42) - MIN(Feuil1archive!L$2:L$42)))</f>
        <v>0.37326407293543939</v>
      </c>
      <c r="K21" s="1">
        <f>((Feuil1archive!M22-MIN(Feuil1archive!M$2:M$42))/(MAX(Feuil1archive!M$2:M$42) - MIN(Feuil1archive!M$2:M$42)))</f>
        <v>0.12544353997077856</v>
      </c>
      <c r="L21" s="1">
        <f>((Feuil1archive!N22-MIN(Feuil1archive!N$2:N$42))/(MAX(Feuil1archive!N$2:N$42) - MIN(Feuil1archive!N$2:N$42)))</f>
        <v>2.8089887640449437E-2</v>
      </c>
      <c r="M21" s="1">
        <f>((Feuil1archive!O22-MIN(Feuil1archive!O$2:O$42))/(MAX(Feuil1archive!O$2:O$42) - MIN(Feuil1archive!O$2:O$42)))</f>
        <v>0.13138324243926625</v>
      </c>
      <c r="N21" s="1">
        <f>((Feuil1archive!P22-MIN(Feuil1archive!P$2:P$42))/(MAX(Feuil1archive!P$2:P$42) - MIN(Feuil1archive!P$2:P$42)))</f>
        <v>0.66804878048780492</v>
      </c>
      <c r="O21" s="1">
        <f>((Feuil1archive!Q22-MIN(Feuil1archive!Q$2:Q$42))/(MAX(Feuil1archive!Q$2:Q$42) - MIN(Feuil1archive!Q$2:Q$42)))</f>
        <v>0.47708757637474541</v>
      </c>
    </row>
    <row r="22" spans="1:15" x14ac:dyDescent="0.3">
      <c r="A22" s="31" t="s">
        <v>41</v>
      </c>
      <c r="B22" s="1">
        <f>((Feuil1archive!B23-MIN(Feuil1archive!B$2:B$42))/(MAX(Feuil1archive!B$2:B$42) - MIN(Feuil1archive!B$2:B$42)))</f>
        <v>0.20287187039764362</v>
      </c>
      <c r="C22" s="1">
        <f>((Feuil1archive!C23-MIN(Feuil1archive!C$2:C$42))/(MAX(Feuil1archive!C$2:C$42) - MIN(Feuil1archive!C$2:C$42)))</f>
        <v>0.13025909038866926</v>
      </c>
      <c r="D22" s="1">
        <f>((Feuil1archive!D23-MIN(Feuil1archive!D$2:D$42))/(MAX(Feuil1archive!D$2:D$42) - MIN(Feuil1archive!D$2:D$42)))</f>
        <v>0.22064494759505052</v>
      </c>
      <c r="E22" s="1">
        <f>((Feuil1archive!E23-MIN(Feuil1archive!E$2:E$42))/(MAX(Feuil1archive!E$2:E$42) - MIN(Feuil1archive!E$2:E$42)))</f>
        <v>0.17431260108807528</v>
      </c>
      <c r="F22" s="1">
        <f>((Feuil1archive!G23-MIN(Feuil1archive!G$2:G$42))/(MAX(Feuil1archive!G$2:G$42) - MIN(Feuil1archive!G$2:G$42)))</f>
        <v>0.21318459221685029</v>
      </c>
      <c r="G22" s="1">
        <f>((Feuil1archive!H23-MIN(Feuil1archive!H$2:H$42))/(MAX(Feuil1archive!H$2:H$42) - MIN(Feuil1archive!H$2:H$42)))</f>
        <v>3.2677050836025616E-2</v>
      </c>
      <c r="H22" s="1">
        <f>((Feuil1archive!J23-MIN(Feuil1archive!J$2:J$42))/(MAX(Feuil1archive!J$2:J$42) - MIN(Feuil1archive!J$2:J$42)))</f>
        <v>8.0536912751677847E-2</v>
      </c>
      <c r="I22" s="1">
        <f>((Feuil1archive!K23-MIN(Feuil1archive!K$2:K$42))/(MAX(Feuil1archive!K$2:K$42) - MIN(Feuil1archive!K$2:K$42)))</f>
        <v>0</v>
      </c>
      <c r="J22" s="1">
        <f>((Feuil1archive!L23-MIN(Feuil1archive!L$2:L$42))/(MAX(Feuil1archive!L$2:L$42) - MIN(Feuil1archive!L$2:L$42)))</f>
        <v>9.0003180324393084E-2</v>
      </c>
      <c r="K22" s="1">
        <f>((Feuil1archive!M23-MIN(Feuil1archive!M$2:M$42))/(MAX(Feuil1archive!M$2:M$42) - MIN(Feuil1archive!M$2:M$42)))</f>
        <v>0.12544353997077856</v>
      </c>
      <c r="L22" s="1">
        <f>((Feuil1archive!N23-MIN(Feuil1archive!N$2:N$42))/(MAX(Feuil1archive!N$2:N$42) - MIN(Feuil1archive!N$2:N$42)))</f>
        <v>2.8089887640449437E-2</v>
      </c>
      <c r="M22" s="1">
        <f>((Feuil1archive!O23-MIN(Feuil1archive!O$2:O$42))/(MAX(Feuil1archive!O$2:O$42) - MIN(Feuil1archive!O$2:O$42)))</f>
        <v>0.10411502231036192</v>
      </c>
      <c r="N22" s="1">
        <f>((Feuil1archive!P23-MIN(Feuil1archive!P$2:P$42))/(MAX(Feuil1archive!P$2:P$42) - MIN(Feuil1archive!P$2:P$42)))</f>
        <v>0.22756097560975611</v>
      </c>
      <c r="O22" s="1">
        <f>((Feuil1archive!Q23-MIN(Feuil1archive!Q$2:Q$42))/(MAX(Feuil1archive!Q$2:Q$42) - MIN(Feuil1archive!Q$2:Q$42)))</f>
        <v>0.23421588594704684</v>
      </c>
    </row>
    <row r="23" spans="1:15" x14ac:dyDescent="0.3">
      <c r="A23" s="31" t="s">
        <v>42</v>
      </c>
      <c r="B23" s="1">
        <f>((Feuil1archive!B24-MIN(Feuil1archive!B$2:B$42))/(MAX(Feuil1archive!B$2:B$42) - MIN(Feuil1archive!B$2:B$42)))</f>
        <v>0.20569010345642652</v>
      </c>
      <c r="C23" s="1">
        <f>((Feuil1archive!C24-MIN(Feuil1archive!C$2:C$42))/(MAX(Feuil1archive!C$2:C$42) - MIN(Feuil1archive!C$2:C$42)))</f>
        <v>0.22629831426243088</v>
      </c>
      <c r="D23" s="1">
        <f>((Feuil1archive!D24-MIN(Feuil1archive!D$2:D$42))/(MAX(Feuil1archive!D$2:D$42) - MIN(Feuil1archive!D$2:D$42)))</f>
        <v>0.21898880923652023</v>
      </c>
      <c r="E23" s="1">
        <f>((Feuil1archive!E24-MIN(Feuil1archive!E$2:E$42))/(MAX(Feuil1archive!E$2:E$42) - MIN(Feuil1archive!E$2:E$42)))</f>
        <v>0.14715973141204725</v>
      </c>
      <c r="F23" s="1">
        <f>((Feuil1archive!G24-MIN(Feuil1archive!G$2:G$42))/(MAX(Feuil1archive!G$2:G$42) - MIN(Feuil1archive!G$2:G$42)))</f>
        <v>0.24005310295632876</v>
      </c>
      <c r="G23" s="1">
        <f>((Feuil1archive!H24-MIN(Feuil1archive!H$2:H$42))/(MAX(Feuil1archive!H$2:H$42) - MIN(Feuil1archive!H$2:H$42)))</f>
        <v>1.9711844794155033E-3</v>
      </c>
      <c r="H23" s="1">
        <f>((Feuil1archive!J24-MIN(Feuil1archive!J$2:J$42))/(MAX(Feuil1archive!J$2:J$42) - MIN(Feuil1archive!J$2:J$42)))</f>
        <v>0.34899328859060402</v>
      </c>
      <c r="I23" s="1">
        <f>((Feuil1archive!K24-MIN(Feuil1archive!K$2:K$42))/(MAX(Feuil1archive!K$2:K$42) - MIN(Feuil1archive!K$2:K$42)))</f>
        <v>4.350670592083742E-2</v>
      </c>
      <c r="J23" s="1">
        <f>((Feuil1archive!L24-MIN(Feuil1archive!L$2:L$42))/(MAX(Feuil1archive!L$2:L$42) - MIN(Feuil1archive!L$2:L$42)))</f>
        <v>0.14894519240962578</v>
      </c>
      <c r="K23" s="1">
        <f>((Feuil1archive!M24-MIN(Feuil1archive!M$2:M$42))/(MAX(Feuil1archive!M$2:M$42) - MIN(Feuil1archive!M$2:M$42)))</f>
        <v>0.12544353997077856</v>
      </c>
      <c r="L23" s="1">
        <f>((Feuil1archive!N24-MIN(Feuil1archive!N$2:N$42))/(MAX(Feuil1archive!N$2:N$42) - MIN(Feuil1archive!N$2:N$42)))</f>
        <v>2.8089887640449437E-2</v>
      </c>
      <c r="M23" s="1">
        <f>((Feuil1archive!O24-MIN(Feuil1archive!O$2:O$42))/(MAX(Feuil1archive!O$2:O$42) - MIN(Feuil1archive!O$2:O$42)))</f>
        <v>0.10857709469509172</v>
      </c>
      <c r="N23" s="1">
        <f>((Feuil1archive!P24-MIN(Feuil1archive!P$2:P$42))/(MAX(Feuil1archive!P$2:P$42) - MIN(Feuil1archive!P$2:P$42)))</f>
        <v>0.41268292682926827</v>
      </c>
      <c r="O23" s="1">
        <f>((Feuil1archive!Q24-MIN(Feuil1archive!Q$2:Q$42))/(MAX(Feuil1archive!Q$2:Q$42) - MIN(Feuil1archive!Q$2:Q$42)))</f>
        <v>0.29226069246435843</v>
      </c>
    </row>
    <row r="24" spans="1:15" x14ac:dyDescent="0.3">
      <c r="A24" s="31" t="s">
        <v>43</v>
      </c>
      <c r="B24" s="1">
        <f>((Feuil1archive!B25-MIN(Feuil1archive!B$2:B$42))/(MAX(Feuil1archive!B$2:B$42) - MIN(Feuil1archive!B$2:B$42)))</f>
        <v>0.2059741995309006</v>
      </c>
      <c r="C24" s="1">
        <f>((Feuil1archive!C25-MIN(Feuil1archive!C$2:C$42))/(MAX(Feuil1archive!C$2:C$42) - MIN(Feuil1archive!C$2:C$42)))</f>
        <v>0.13025909038866926</v>
      </c>
      <c r="D24" s="1">
        <f>((Feuil1archive!D25-MIN(Feuil1archive!D$2:D$42))/(MAX(Feuil1archive!D$2:D$42) - MIN(Feuil1archive!D$2:D$42)))</f>
        <v>0.22710388719331867</v>
      </c>
      <c r="E24" s="1">
        <f>((Feuil1archive!E25-MIN(Feuil1archive!E$2:E$42))/(MAX(Feuil1archive!E$2:E$42) - MIN(Feuil1archive!E$2:E$42)))</f>
        <v>0.17431260108807528</v>
      </c>
      <c r="F24" s="1">
        <f>((Feuil1archive!G25-MIN(Feuil1archive!G$2:G$42))/(MAX(Feuil1archive!G$2:G$42) - MIN(Feuil1archive!G$2:G$42)))</f>
        <v>0.21859396052944441</v>
      </c>
      <c r="G24" s="1">
        <f>((Feuil1archive!H25-MIN(Feuil1archive!H$2:H$42))/(MAX(Feuil1archive!H$2:H$42) - MIN(Feuil1archive!H$2:H$42)))</f>
        <v>2.2099529825984118E-2</v>
      </c>
      <c r="H24" s="1">
        <f>((Feuil1archive!J25-MIN(Feuil1archive!J$2:J$42))/(MAX(Feuil1archive!J$2:J$42) - MIN(Feuil1archive!J$2:J$42)))</f>
        <v>8.0536912751677847E-2</v>
      </c>
      <c r="I24" s="1">
        <f>((Feuil1archive!K25-MIN(Feuil1archive!K$2:K$42))/(MAX(Feuil1archive!K$2:K$42) - MIN(Feuil1archive!K$2:K$42)))</f>
        <v>0</v>
      </c>
      <c r="J24" s="1">
        <f>((Feuil1archive!L25-MIN(Feuil1archive!L$2:L$42))/(MAX(Feuil1archive!L$2:L$42) - MIN(Feuil1archive!L$2:L$42)))</f>
        <v>9.0003180324393084E-2</v>
      </c>
      <c r="K24" s="1">
        <f>((Feuil1archive!M25-MIN(Feuil1archive!M$2:M$42))/(MAX(Feuil1archive!M$2:M$42) - MIN(Feuil1archive!M$2:M$42)))</f>
        <v>0.12544353997077856</v>
      </c>
      <c r="L24" s="1">
        <f>((Feuil1archive!N25-MIN(Feuil1archive!N$2:N$42))/(MAX(Feuil1archive!N$2:N$42) - MIN(Feuil1archive!N$2:N$42)))</f>
        <v>2.8089887640449437E-2</v>
      </c>
      <c r="M24" s="1">
        <f>((Feuil1archive!O25-MIN(Feuil1archive!O$2:O$42))/(MAX(Feuil1archive!O$2:O$42) - MIN(Feuil1archive!O$2:O$42)))</f>
        <v>0.10411502231036192</v>
      </c>
      <c r="N24" s="1">
        <f>((Feuil1archive!P25-MIN(Feuil1archive!P$2:P$42))/(MAX(Feuil1archive!P$2:P$42) - MIN(Feuil1archive!P$2:P$42)))</f>
        <v>0.22756097560975611</v>
      </c>
      <c r="O24" s="1">
        <f>((Feuil1archive!Q25-MIN(Feuil1archive!Q$2:Q$42))/(MAX(Feuil1archive!Q$2:Q$42) - MIN(Feuil1archive!Q$2:Q$42)))</f>
        <v>0.23421588594704684</v>
      </c>
    </row>
    <row r="25" spans="1:15" x14ac:dyDescent="0.3">
      <c r="A25" s="31" t="s">
        <v>44</v>
      </c>
      <c r="B25" s="1">
        <f>((Feuil1archive!B26-MIN(Feuil1archive!B$2:B$42))/(MAX(Feuil1archive!B$2:B$42) - MIN(Feuil1archive!B$2:B$42)))</f>
        <v>0.20632647866324846</v>
      </c>
      <c r="C25" s="1">
        <f>((Feuil1archive!C26-MIN(Feuil1archive!C$2:C$42))/(MAX(Feuil1archive!C$2:C$42) - MIN(Feuil1archive!C$2:C$42)))</f>
        <v>0.22629831426243088</v>
      </c>
      <c r="D25" s="1">
        <f>((Feuil1archive!D26-MIN(Feuil1archive!D$2:D$42))/(MAX(Feuil1archive!D$2:D$42) - MIN(Feuil1archive!D$2:D$42)))</f>
        <v>0.22031371992334445</v>
      </c>
      <c r="E25" s="1">
        <f>((Feuil1archive!E26-MIN(Feuil1archive!E$2:E$42))/(MAX(Feuil1archive!E$2:E$42) - MIN(Feuil1archive!E$2:E$42)))</f>
        <v>0.14715973141204725</v>
      </c>
      <c r="F25" s="1">
        <f>((Feuil1archive!G26-MIN(Feuil1archive!G$2:G$42))/(MAX(Feuil1archive!G$2:G$42) - MIN(Feuil1archive!G$2:G$42)))</f>
        <v>0.24116271696916858</v>
      </c>
      <c r="G25" s="1">
        <f>((Feuil1archive!H26-MIN(Feuil1archive!H$2:H$42))/(MAX(Feuil1archive!H$2:H$42) - MIN(Feuil1archive!H$2:H$42)))</f>
        <v>0</v>
      </c>
      <c r="H25" s="1">
        <f>((Feuil1archive!J26-MIN(Feuil1archive!J$2:J$42))/(MAX(Feuil1archive!J$2:J$42) - MIN(Feuil1archive!J$2:J$42)))</f>
        <v>0.34899328859060402</v>
      </c>
      <c r="I25" s="1">
        <f>((Feuil1archive!K26-MIN(Feuil1archive!K$2:K$42))/(MAX(Feuil1archive!K$2:K$42) - MIN(Feuil1archive!K$2:K$42)))</f>
        <v>4.350670592083742E-2</v>
      </c>
      <c r="J25" s="1">
        <f>((Feuil1archive!L26-MIN(Feuil1archive!L$2:L$42))/(MAX(Feuil1archive!L$2:L$42) - MIN(Feuil1archive!L$2:L$42)))</f>
        <v>0.14894519240962578</v>
      </c>
      <c r="K25" s="1">
        <f>((Feuil1archive!M26-MIN(Feuil1archive!M$2:M$42))/(MAX(Feuil1archive!M$2:M$42) - MIN(Feuil1archive!M$2:M$42)))</f>
        <v>0.12544353997077856</v>
      </c>
      <c r="L25" s="1">
        <f>((Feuil1archive!N26-MIN(Feuil1archive!N$2:N$42))/(MAX(Feuil1archive!N$2:N$42) - MIN(Feuil1archive!N$2:N$42)))</f>
        <v>2.8089887640449437E-2</v>
      </c>
      <c r="M25" s="1">
        <f>((Feuil1archive!O26-MIN(Feuil1archive!O$2:O$42))/(MAX(Feuil1archive!O$2:O$42) - MIN(Feuil1archive!O$2:O$42)))</f>
        <v>0.10857709469509172</v>
      </c>
      <c r="N25" s="1">
        <f>((Feuil1archive!P26-MIN(Feuil1archive!P$2:P$42))/(MAX(Feuil1archive!P$2:P$42) - MIN(Feuil1archive!P$2:P$42)))</f>
        <v>0.41268292682926827</v>
      </c>
      <c r="O25" s="1">
        <f>((Feuil1archive!Q26-MIN(Feuil1archive!Q$2:Q$42))/(MAX(Feuil1archive!Q$2:Q$42) - MIN(Feuil1archive!Q$2:Q$42)))</f>
        <v>0.29226069246435843</v>
      </c>
    </row>
    <row r="26" spans="1:15" x14ac:dyDescent="0.3">
      <c r="A26" s="31" t="s">
        <v>46</v>
      </c>
      <c r="B26" s="1">
        <f>((Feuil1archive!B27-MIN(Feuil1archive!B$2:B$42))/(MAX(Feuil1archive!B$2:B$42) - MIN(Feuil1archive!B$2:B$42)))</f>
        <v>0.2059741995309006</v>
      </c>
      <c r="C26" s="1">
        <f>((Feuil1archive!C27-MIN(Feuil1archive!C$2:C$42))/(MAX(Feuil1archive!C$2:C$42) - MIN(Feuil1archive!C$2:C$42)))</f>
        <v>0.13025909038866926</v>
      </c>
      <c r="D26" s="1">
        <f>((Feuil1archive!D27-MIN(Feuil1archive!D$2:D$42))/(MAX(Feuil1archive!D$2:D$42) - MIN(Feuil1archive!D$2:D$42)))</f>
        <v>0.22710388719331867</v>
      </c>
      <c r="E26" s="1">
        <f>((Feuil1archive!E27-MIN(Feuil1archive!E$2:E$42))/(MAX(Feuil1archive!E$2:E$42) - MIN(Feuil1archive!E$2:E$42)))</f>
        <v>0.17431260108807528</v>
      </c>
      <c r="F26" s="1">
        <f>((Feuil1archive!G27-MIN(Feuil1archive!G$2:G$42))/(MAX(Feuil1archive!G$2:G$42) - MIN(Feuil1archive!G$2:G$42)))</f>
        <v>0.21859396052944441</v>
      </c>
      <c r="G26" s="1">
        <f>((Feuil1archive!H27-MIN(Feuil1archive!H$2:H$42))/(MAX(Feuil1archive!H$2:H$42) - MIN(Feuil1archive!H$2:H$42)))</f>
        <v>2.2099529825984118E-2</v>
      </c>
      <c r="H26" s="1">
        <f>((Feuil1archive!J27-MIN(Feuil1archive!J$2:J$42))/(MAX(Feuil1archive!J$2:J$42) - MIN(Feuil1archive!J$2:J$42)))</f>
        <v>8.0536912751677847E-2</v>
      </c>
      <c r="I26" s="1">
        <f>((Feuil1archive!K27-MIN(Feuil1archive!K$2:K$42))/(MAX(Feuil1archive!K$2:K$42) - MIN(Feuil1archive!K$2:K$42)))</f>
        <v>0</v>
      </c>
      <c r="J26" s="1">
        <f>((Feuil1archive!L27-MIN(Feuil1archive!L$2:L$42))/(MAX(Feuil1archive!L$2:L$42) - MIN(Feuil1archive!L$2:L$42)))</f>
        <v>9.0003180324393084E-2</v>
      </c>
      <c r="K26" s="1">
        <f>((Feuil1archive!M27-MIN(Feuil1archive!M$2:M$42))/(MAX(Feuil1archive!M$2:M$42) - MIN(Feuil1archive!M$2:M$42)))</f>
        <v>0.12544353997077856</v>
      </c>
      <c r="L26" s="1">
        <f>((Feuil1archive!N27-MIN(Feuil1archive!N$2:N$42))/(MAX(Feuil1archive!N$2:N$42) - MIN(Feuil1archive!N$2:N$42)))</f>
        <v>2.8089887640449437E-2</v>
      </c>
      <c r="M26" s="1">
        <f>((Feuil1archive!O27-MIN(Feuil1archive!O$2:O$42))/(MAX(Feuil1archive!O$2:O$42) - MIN(Feuil1archive!O$2:O$42)))</f>
        <v>0.10411502231036192</v>
      </c>
      <c r="N26" s="1">
        <f>((Feuil1archive!P27-MIN(Feuil1archive!P$2:P$42))/(MAX(Feuil1archive!P$2:P$42) - MIN(Feuil1archive!P$2:P$42)))</f>
        <v>0.22756097560975611</v>
      </c>
      <c r="O26" s="1">
        <f>((Feuil1archive!Q27-MIN(Feuil1archive!Q$2:Q$42))/(MAX(Feuil1archive!Q$2:Q$42) - MIN(Feuil1archive!Q$2:Q$42)))</f>
        <v>0.23421588594704684</v>
      </c>
    </row>
    <row r="27" spans="1:15" x14ac:dyDescent="0.3">
      <c r="A27" s="31" t="s">
        <v>47</v>
      </c>
      <c r="B27" s="1">
        <f>((Feuil1archive!B28-MIN(Feuil1archive!B$2:B$42))/(MAX(Feuil1archive!B$2:B$42) - MIN(Feuil1archive!B$2:B$42)))</f>
        <v>0.48272923144057167</v>
      </c>
      <c r="C27" s="1">
        <f>((Feuil1archive!C28-MIN(Feuil1archive!C$2:C$42))/(MAX(Feuil1archive!C$2:C$42) - MIN(Feuil1archive!C$2:C$42)))</f>
        <v>0.29095305123214421</v>
      </c>
      <c r="D27" s="1">
        <f>((Feuil1archive!D28-MIN(Feuil1archive!D$2:D$42))/(MAX(Feuil1archive!D$2:D$42) - MIN(Feuil1archive!D$2:D$42)))</f>
        <v>0.34187427543946813</v>
      </c>
      <c r="E27" s="1">
        <f>((Feuil1archive!E28-MIN(Feuil1archive!E$2:E$42))/(MAX(Feuil1archive!E$2:E$42) - MIN(Feuil1archive!E$2:E$42)))</f>
        <v>0.59378522766259867</v>
      </c>
      <c r="F27" s="1">
        <f>((Feuil1archive!G28-MIN(Feuil1archive!G$2:G$42))/(MAX(Feuil1archive!G$2:G$42) - MIN(Feuil1archive!G$2:G$42)))</f>
        <v>0.36199175715304749</v>
      </c>
      <c r="G27" s="1">
        <f>((Feuil1archive!H28-MIN(Feuil1archive!H$2:H$42))/(MAX(Feuil1archive!H$2:H$42) - MIN(Feuil1archive!H$2:H$42)))</f>
        <v>0.42444490967472454</v>
      </c>
      <c r="H27" s="1">
        <f>((Feuil1archive!J28-MIN(Feuil1archive!J$2:J$42))/(MAX(Feuil1archive!J$2:J$42) - MIN(Feuil1archive!J$2:J$42)))</f>
        <v>0.34899328859060402</v>
      </c>
      <c r="I27" s="1">
        <f>((Feuil1archive!K28-MIN(Feuil1archive!K$2:K$42))/(MAX(Feuil1archive!K$2:K$42) - MIN(Feuil1archive!K$2:K$42)))</f>
        <v>9.2574419365390903E-2</v>
      </c>
      <c r="J27" s="1">
        <f>((Feuil1archive!L28-MIN(Feuil1archive!L$2:L$42))/(MAX(Feuil1archive!L$2:L$42) - MIN(Feuil1archive!L$2:L$42)))</f>
        <v>0.29078766034135484</v>
      </c>
      <c r="K27" s="1">
        <f>((Feuil1archive!M28-MIN(Feuil1archive!M$2:M$42))/(MAX(Feuil1archive!M$2:M$42) - MIN(Feuil1archive!M$2:M$42)))</f>
        <v>0.12544353997077856</v>
      </c>
      <c r="L27" s="1">
        <f>((Feuil1archive!N28-MIN(Feuil1archive!N$2:N$42))/(MAX(Feuil1archive!N$2:N$42) - MIN(Feuil1archive!N$2:N$42)))</f>
        <v>2.8089887640449437E-2</v>
      </c>
      <c r="M27" s="1">
        <f>((Feuil1archive!O28-MIN(Feuil1archive!O$2:O$42))/(MAX(Feuil1archive!O$2:O$42) - MIN(Feuil1archive!O$2:O$42)))</f>
        <v>0.14179474467030243</v>
      </c>
      <c r="N27" s="1">
        <f>((Feuil1archive!P28-MIN(Feuil1archive!P$2:P$42))/(MAX(Feuil1archive!P$2:P$42) - MIN(Feuil1archive!P$2:P$42)))</f>
        <v>0.34146341463414637</v>
      </c>
      <c r="O27" s="1">
        <f>((Feuil1archive!Q28-MIN(Feuil1archive!Q$2:Q$42))/(MAX(Feuil1archive!Q$2:Q$42) - MIN(Feuil1archive!Q$2:Q$42)))</f>
        <v>0.40224032586558045</v>
      </c>
    </row>
    <row r="28" spans="1:15" x14ac:dyDescent="0.3">
      <c r="A28" s="31" t="s">
        <v>49</v>
      </c>
      <c r="B28" s="1">
        <f>((Feuil1archive!B30-MIN(Feuil1archive!B$2:B$42))/(MAX(Feuil1archive!B$2:B$42) - MIN(Feuil1archive!B$2:B$42)))</f>
        <v>0.16524618629429627</v>
      </c>
      <c r="C28" s="1">
        <f>((Feuil1archive!C30-MIN(Feuil1archive!C$2:C$42))/(MAX(Feuil1archive!C$2:C$42) - MIN(Feuil1archive!C$2:C$42)))</f>
        <v>0.36759585401499184</v>
      </c>
      <c r="D28" s="1">
        <f>((Feuil1archive!D30-MIN(Feuil1archive!D$2:D$42))/(MAX(Feuil1archive!D$2:D$42) - MIN(Feuil1archive!D$2:D$42)))</f>
        <v>0.14311401329642512</v>
      </c>
      <c r="E28" s="1">
        <f>((Feuil1archive!E30-MIN(Feuil1archive!E$2:E$42))/(MAX(Feuil1archive!E$2:E$42) - MIN(Feuil1archive!E$2:E$42)))</f>
        <v>8.7119541243934714E-2</v>
      </c>
      <c r="F28" s="1">
        <f>((Feuil1archive!G30-MIN(Feuil1archive!G$2:G$42))/(MAX(Feuil1archive!G$2:G$42) - MIN(Feuil1archive!G$2:G$42)))</f>
        <v>0.21807878259491162</v>
      </c>
      <c r="G28" s="1">
        <f>((Feuil1archive!H30-MIN(Feuil1archive!H$2:H$42))/(MAX(Feuil1archive!H$2:H$42) - MIN(Feuil1archive!H$2:H$42)))</f>
        <v>4.1660911537651273E-2</v>
      </c>
      <c r="H28" s="1">
        <f>((Feuil1archive!J30-MIN(Feuil1archive!J$2:J$42))/(MAX(Feuil1archive!J$2:J$42) - MIN(Feuil1archive!J$2:J$42)))</f>
        <v>1</v>
      </c>
      <c r="I28" s="1">
        <f>((Feuil1archive!K30-MIN(Feuil1archive!K$2:K$42))/(MAX(Feuil1archive!K$2:K$42) - MIN(Feuil1archive!K$2:K$42)))</f>
        <v>0.11432777232580962</v>
      </c>
      <c r="J28" s="1">
        <f>((Feuil1archive!L30-MIN(Feuil1archive!L$2:L$42))/(MAX(Feuil1archive!L$2:L$42) - MIN(Feuil1archive!L$2:L$42)))</f>
        <v>0.10548075903742182</v>
      </c>
      <c r="K28" s="1">
        <f>((Feuil1archive!M30-MIN(Feuil1archive!M$2:M$42))/(MAX(Feuil1archive!M$2:M$42) - MIN(Feuil1archive!M$2:M$42)))</f>
        <v>0.35086620747234398</v>
      </c>
      <c r="L28" s="1">
        <f>((Feuil1archive!N30-MIN(Feuil1archive!N$2:N$42))/(MAX(Feuil1archive!N$2:N$42) - MIN(Feuil1archive!N$2:N$42)))</f>
        <v>3.5814606741573031E-2</v>
      </c>
      <c r="M28" s="1">
        <f>((Feuil1archive!O30-MIN(Feuil1archive!O$2:O$42))/(MAX(Feuil1archive!O$2:O$42) - MIN(Feuil1archive!O$2:O$42)))</f>
        <v>0.39662865642042638</v>
      </c>
      <c r="N28" s="1">
        <f>((Feuil1archive!P30-MIN(Feuil1archive!P$2:P$42))/(MAX(Feuil1archive!P$2:P$42) - MIN(Feuil1archive!P$2:P$42)))</f>
        <v>0.58048780487804874</v>
      </c>
      <c r="O28" s="1">
        <f>((Feuil1archive!Q30-MIN(Feuil1archive!Q$2:Q$42))/(MAX(Feuil1archive!Q$2:Q$42) - MIN(Feuil1archive!Q$2:Q$42)))</f>
        <v>0.42769857433808556</v>
      </c>
    </row>
    <row r="29" spans="1:15" x14ac:dyDescent="0.3">
      <c r="A29" s="31" t="s">
        <v>50</v>
      </c>
      <c r="B29" s="1">
        <f>((Feuil1archive!B31-MIN(Feuil1archive!B$2:B$42))/(MAX(Feuil1archive!B$2:B$42) - MIN(Feuil1archive!B$2:B$42)))</f>
        <v>0.372840869833997</v>
      </c>
      <c r="C29" s="1">
        <f>((Feuil1archive!C31-MIN(Feuil1archive!C$2:C$42))/(MAX(Feuil1archive!C$2:C$42) - MIN(Feuil1archive!C$2:C$42)))</f>
        <v>0.7195600783938686</v>
      </c>
      <c r="D29" s="1">
        <f>((Feuil1archive!D31-MIN(Feuil1archive!D$2:D$42))/(MAX(Feuil1archive!D$2:D$42) - MIN(Feuil1archive!D$2:D$42)))</f>
        <v>1.180590058438025E-2</v>
      </c>
      <c r="E29" s="1">
        <f>((Feuil1archive!E31-MIN(Feuil1archive!E$2:E$42))/(MAX(Feuil1archive!E$2:E$42) - MIN(Feuil1archive!E$2:E$42)))</f>
        <v>0.54273881291966863</v>
      </c>
      <c r="F29" s="1">
        <f>((Feuil1archive!G31-MIN(Feuil1archive!G$2:G$42))/(MAX(Feuil1archive!G$2:G$42) - MIN(Feuil1archive!G$2:G$42)))</f>
        <v>0.21165887294919553</v>
      </c>
      <c r="G29" s="1">
        <f>((Feuil1archive!H31-MIN(Feuil1archive!H$2:H$42))/(MAX(Feuil1archive!H$2:H$42) - MIN(Feuil1archive!H$2:H$42)))</f>
        <v>0.67885312037383838</v>
      </c>
      <c r="H29" s="1">
        <f>((Feuil1archive!J31-MIN(Feuil1archive!J$2:J$42))/(MAX(Feuil1archive!J$2:J$42) - MIN(Feuil1archive!J$2:J$42)))</f>
        <v>0.26174496644295303</v>
      </c>
      <c r="I29" s="1">
        <f>((Feuil1archive!K31-MIN(Feuil1archive!K$2:K$42))/(MAX(Feuil1archive!K$2:K$42) - MIN(Feuil1archive!K$2:K$42)))</f>
        <v>0.32924435721295386</v>
      </c>
      <c r="J29" s="1">
        <f>((Feuil1archive!L31-MIN(Feuil1archive!L$2:L$42))/(MAX(Feuil1archive!L$2:L$42) - MIN(Feuil1archive!L$2:L$42)))</f>
        <v>0.4599809180536415</v>
      </c>
      <c r="K29" s="1">
        <f>((Feuil1archive!M31-MIN(Feuil1archive!M$2:M$42))/(MAX(Feuil1archive!M$2:M$42) - MIN(Feuil1archive!M$2:M$42)))</f>
        <v>0.29729353649203372</v>
      </c>
      <c r="L29" s="1">
        <f>((Feuil1archive!N31-MIN(Feuil1archive!N$2:N$42))/(MAX(Feuil1archive!N$2:N$42) - MIN(Feuil1archive!N$2:N$42)))</f>
        <v>0.3967696629213483</v>
      </c>
      <c r="M29" s="1">
        <f>((Feuil1archive!O31-MIN(Feuil1archive!O$2:O$42))/(MAX(Feuil1archive!O$2:O$42) - MIN(Feuil1archive!O$2:O$42)))</f>
        <v>0.43777887952404559</v>
      </c>
      <c r="N29" s="1">
        <f>((Feuil1archive!P31-MIN(Feuil1archive!P$2:P$42))/(MAX(Feuil1archive!P$2:P$42) - MIN(Feuil1archive!P$2:P$42)))</f>
        <v>0.82414634146341459</v>
      </c>
      <c r="O29" s="1">
        <f>((Feuil1archive!Q31-MIN(Feuil1archive!Q$2:Q$42))/(MAX(Feuil1archive!Q$2:Q$42) - MIN(Feuil1archive!Q$2:Q$42)))</f>
        <v>0.79480651731160901</v>
      </c>
    </row>
    <row r="30" spans="1:15" x14ac:dyDescent="0.3">
      <c r="A30" s="31" t="s">
        <v>51</v>
      </c>
      <c r="B30" s="1">
        <f>((Feuil1archive!B32-MIN(Feuil1archive!B$2:B$42))/(MAX(Feuil1archive!B$2:B$42) - MIN(Feuil1archive!B$2:B$42)))</f>
        <v>0.45411507481954222</v>
      </c>
      <c r="C30" s="1">
        <f>((Feuil1archive!C32-MIN(Feuil1archive!C$2:C$42))/(MAX(Feuil1archive!C$2:C$42) - MIN(Feuil1archive!C$2:C$42)))</f>
        <v>0.62466578215394564</v>
      </c>
      <c r="D30" s="1">
        <f>((Feuil1archive!D32-MIN(Feuil1archive!D$2:D$42))/(MAX(Feuil1archive!D$2:D$42) - MIN(Feuil1archive!D$2:D$42)))</f>
        <v>0.23294768968698984</v>
      </c>
      <c r="E30" s="1">
        <f>((Feuil1archive!E32-MIN(Feuil1archive!E$2:E$42))/(MAX(Feuil1archive!E$2:E$42) - MIN(Feuil1archive!E$2:E$42)))</f>
        <v>0.52347693966573539</v>
      </c>
      <c r="F30" s="1">
        <f>((Feuil1archive!G32-MIN(Feuil1archive!G$2:G$42))/(MAX(Feuil1archive!G$2:G$42) - MIN(Feuil1archive!G$2:G$42)))</f>
        <v>0.36894665926923992</v>
      </c>
      <c r="G30" s="1">
        <f>((Feuil1archive!H32-MIN(Feuil1archive!H$2:H$42))/(MAX(Feuil1archive!H$2:H$42) - MIN(Feuil1archive!H$2:H$42)))</f>
        <v>0.40125614013851163</v>
      </c>
      <c r="H30" s="1">
        <f>((Feuil1archive!J32-MIN(Feuil1archive!J$2:J$42))/(MAX(Feuil1archive!J$2:J$42) - MIN(Feuil1archive!J$2:J$42)))</f>
        <v>0.51006711409395977</v>
      </c>
      <c r="I30" s="1">
        <f>((Feuil1archive!K32-MIN(Feuil1archive!K$2:K$42))/(MAX(Feuil1archive!K$2:K$42) - MIN(Feuil1archive!K$2:K$42)))</f>
        <v>0.24223094537127904</v>
      </c>
      <c r="J30" s="1">
        <f>((Feuil1archive!L32-MIN(Feuil1archive!L$2:L$42))/(MAX(Feuil1archive!L$2:L$42) - MIN(Feuil1archive!L$2:L$42)))</f>
        <v>0.42118096045796671</v>
      </c>
      <c r="K30" s="1">
        <f>((Feuil1archive!M32-MIN(Feuil1archive!M$2:M$42))/(MAX(Feuil1archive!M$2:M$42) - MIN(Feuil1archive!M$2:M$42)))</f>
        <v>0.23815487372156127</v>
      </c>
      <c r="L30" s="1">
        <f>((Feuil1archive!N32-MIN(Feuil1archive!N$2:N$42))/(MAX(Feuil1archive!N$2:N$42) - MIN(Feuil1archive!N$2:N$42)))</f>
        <v>0.19452247191011235</v>
      </c>
      <c r="M30" s="1">
        <f>((Feuil1archive!O32-MIN(Feuil1archive!O$2:O$42))/(MAX(Feuil1archive!O$2:O$42) - MIN(Feuil1archive!O$2:O$42)))</f>
        <v>0.59841348537431827</v>
      </c>
      <c r="N30" s="1">
        <f>((Feuil1archive!P32-MIN(Feuil1archive!P$2:P$42))/(MAX(Feuil1archive!P$2:P$42) - MIN(Feuil1archive!P$2:P$42)))</f>
        <v>0.7117073170731707</v>
      </c>
      <c r="O30" s="1">
        <f>((Feuil1archive!Q32-MIN(Feuil1archive!Q$2:Q$42))/(MAX(Feuil1archive!Q$2:Q$42) - MIN(Feuil1archive!Q$2:Q$42)))</f>
        <v>0.70112016293279023</v>
      </c>
    </row>
    <row r="31" spans="1:15" x14ac:dyDescent="0.3">
      <c r="A31" s="31" t="s">
        <v>52</v>
      </c>
      <c r="B31" s="1">
        <f>((Feuil1archive!B33-MIN(Feuil1archive!B$2:B$42))/(MAX(Feuil1archive!B$2:B$42) - MIN(Feuil1archive!B$2:B$42)))</f>
        <v>0.45412643866252117</v>
      </c>
      <c r="C31" s="1">
        <f>((Feuil1archive!C33-MIN(Feuil1archive!C$2:C$42))/(MAX(Feuil1archive!C$2:C$42) - MIN(Feuil1archive!C$2:C$42)))</f>
        <v>0.63598036112364542</v>
      </c>
      <c r="D31" s="1">
        <f>((Feuil1archive!D33-MIN(Feuil1archive!D$2:D$42))/(MAX(Feuil1archive!D$2:D$42) - MIN(Feuil1archive!D$2:D$42)))</f>
        <v>0.22899661674592472</v>
      </c>
      <c r="E31" s="1">
        <f>((Feuil1archive!E33-MIN(Feuil1archive!E$2:E$42))/(MAX(Feuil1archive!E$2:E$42) - MIN(Feuil1archive!E$2:E$42)))</f>
        <v>0.52347693966573539</v>
      </c>
      <c r="F31" s="1">
        <f>((Feuil1archive!G33-MIN(Feuil1archive!G$2:G$42))/(MAX(Feuil1archive!G$2:G$42) - MIN(Feuil1archive!G$2:G$42)))</f>
        <v>0.36896647380518349</v>
      </c>
      <c r="G31" s="1">
        <f>((Feuil1archive!H33-MIN(Feuil1archive!H$2:H$42))/(MAX(Feuil1archive!H$2:H$42) - MIN(Feuil1archive!H$2:H$42)))</f>
        <v>0.40122138483297209</v>
      </c>
      <c r="H31" s="1">
        <f>((Feuil1archive!J33-MIN(Feuil1archive!J$2:J$42))/(MAX(Feuil1archive!J$2:J$42) - MIN(Feuil1archive!J$2:J$42)))</f>
        <v>0.51006711409395977</v>
      </c>
      <c r="I31" s="1">
        <f>((Feuil1archive!K33-MIN(Feuil1archive!K$2:K$42))/(MAX(Feuil1archive!K$2:K$42) - MIN(Feuil1archive!K$2:K$42)))</f>
        <v>0.28655544651619236</v>
      </c>
      <c r="J31" s="1">
        <f>((Feuil1archive!L33-MIN(Feuil1archive!L$2:L$42))/(MAX(Feuil1archive!L$2:L$42) - MIN(Feuil1archive!L$2:L$42)))</f>
        <v>0.42118096045796671</v>
      </c>
      <c r="K31" s="1">
        <f>((Feuil1archive!M33-MIN(Feuil1archive!M$2:M$42))/(MAX(Feuil1archive!M$2:M$42) - MIN(Feuil1archive!M$2:M$42)))</f>
        <v>0.23815487372156127</v>
      </c>
      <c r="L31" s="1">
        <f>((Feuil1archive!N33-MIN(Feuil1archive!N$2:N$42))/(MAX(Feuil1archive!N$2:N$42) - MIN(Feuil1archive!N$2:N$42)))</f>
        <v>0.19452247191011235</v>
      </c>
      <c r="M31" s="1">
        <f>((Feuil1archive!O33-MIN(Feuil1archive!O$2:O$42))/(MAX(Feuil1archive!O$2:O$42) - MIN(Feuil1archive!O$2:O$42)))</f>
        <v>0.59097669806643527</v>
      </c>
      <c r="N31" s="1">
        <f>((Feuil1archive!P33-MIN(Feuil1archive!P$2:P$42))/(MAX(Feuil1archive!P$2:P$42) - MIN(Feuil1archive!P$2:P$42)))</f>
        <v>0.67536585365853663</v>
      </c>
      <c r="O31" s="1">
        <f>((Feuil1archive!Q33-MIN(Feuil1archive!Q$2:Q$42))/(MAX(Feuil1archive!Q$2:Q$42) - MIN(Feuil1archive!Q$2:Q$42)))</f>
        <v>0.73217922606924646</v>
      </c>
    </row>
    <row r="32" spans="1:15" x14ac:dyDescent="0.3">
      <c r="A32" s="31" t="s">
        <v>53</v>
      </c>
      <c r="B32" s="1">
        <f>((Feuil1archive!B34-MIN(Feuil1archive!B$2:B$42))/(MAX(Feuil1archive!B$2:B$42) - MIN(Feuil1archive!B$2:B$42)))</f>
        <v>0.45410371097656327</v>
      </c>
      <c r="C32" s="1">
        <f>((Feuil1archive!C34-MIN(Feuil1archive!C$2:C$42))/(MAX(Feuil1archive!C$2:C$42) - MIN(Feuil1archive!C$2:C$42)))</f>
        <v>0.61725742687616603</v>
      </c>
      <c r="D32" s="1">
        <f>((Feuil1archive!D34-MIN(Feuil1archive!D$2:D$42))/(MAX(Feuil1archive!D$2:D$42) - MIN(Feuil1archive!D$2:D$42)))</f>
        <v>0.23552653370241561</v>
      </c>
      <c r="E32" s="1">
        <f>((Feuil1archive!E34-MIN(Feuil1archive!E$2:E$42))/(MAX(Feuil1archive!E$2:E$42) - MIN(Feuil1archive!E$2:E$42)))</f>
        <v>0.52347693966573539</v>
      </c>
      <c r="F32" s="1">
        <f>((Feuil1archive!G34-MIN(Feuil1archive!G$2:G$42))/(MAX(Feuil1archive!G$2:G$42) - MIN(Feuil1archive!G$2:G$42)))</f>
        <v>0.36892684473329634</v>
      </c>
      <c r="G32" s="1">
        <f>((Feuil1archive!H34-MIN(Feuil1archive!H$2:H$42))/(MAX(Feuil1archive!H$2:H$42) - MIN(Feuil1archive!H$2:H$42)))</f>
        <v>0.40129089792907036</v>
      </c>
      <c r="H32" s="1">
        <f>((Feuil1archive!J34-MIN(Feuil1archive!J$2:J$42))/(MAX(Feuil1archive!J$2:J$42) - MIN(Feuil1archive!J$2:J$42)))</f>
        <v>0.51006711409395977</v>
      </c>
      <c r="I32" s="1">
        <f>((Feuil1archive!K34-MIN(Feuil1archive!K$2:K$42))/(MAX(Feuil1archive!K$2:K$42) - MIN(Feuil1archive!K$2:K$42)))</f>
        <v>0.30062152437029765</v>
      </c>
      <c r="J32" s="1">
        <f>((Feuil1archive!L34-MIN(Feuil1archive!L$2:L$42))/(MAX(Feuil1archive!L$2:L$42) - MIN(Feuil1archive!L$2:L$42)))</f>
        <v>0.42118096045796671</v>
      </c>
      <c r="K32" s="1">
        <f>((Feuil1archive!M34-MIN(Feuil1archive!M$2:M$42))/(MAX(Feuil1archive!M$2:M$42) - MIN(Feuil1archive!M$2:M$42)))</f>
        <v>0.23815487372156127</v>
      </c>
      <c r="L32" s="1">
        <f>((Feuil1archive!N34-MIN(Feuil1archive!N$2:N$42))/(MAX(Feuil1archive!N$2:N$42) - MIN(Feuil1archive!N$2:N$42)))</f>
        <v>0.22823033707865167</v>
      </c>
      <c r="M32" s="1">
        <f>((Feuil1archive!O34-MIN(Feuil1archive!O$2:O$42))/(MAX(Feuil1archive!O$2:O$42) - MIN(Feuil1archive!O$2:O$42)))</f>
        <v>0.59097669806643527</v>
      </c>
      <c r="N32" s="1">
        <f>((Feuil1archive!P34-MIN(Feuil1archive!P$2:P$42))/(MAX(Feuil1archive!P$2:P$42) - MIN(Feuil1archive!P$2:P$42)))</f>
        <v>0.58951219512195119</v>
      </c>
      <c r="O32" s="1">
        <f>((Feuil1archive!Q34-MIN(Feuil1archive!Q$2:Q$42))/(MAX(Feuil1archive!Q$2:Q$42) - MIN(Feuil1archive!Q$2:Q$42)))</f>
        <v>0.70162932790224031</v>
      </c>
    </row>
    <row r="33" spans="1:15" x14ac:dyDescent="0.3">
      <c r="A33" s="31" t="s">
        <v>55</v>
      </c>
      <c r="B33" s="1">
        <f>((Feuil1archive!B35-MIN(Feuil1archive!B$2:B$42))/(MAX(Feuil1archive!B$2:B$42) - MIN(Feuil1archive!B$2:B$42)))</f>
        <v>0.55233276968672163</v>
      </c>
      <c r="C33" s="1">
        <f>((Feuil1archive!C35-MIN(Feuil1archive!C$2:C$42))/(MAX(Feuil1archive!C$2:C$42) - MIN(Feuil1archive!C$2:C$42)))</f>
        <v>0.47818239370693894</v>
      </c>
      <c r="D33" s="1">
        <f>((Feuil1archive!D35-MIN(Feuil1archive!D$2:D$42))/(MAX(Feuil1archive!D$2:D$42) - MIN(Feuil1archive!D$2:D$42)))</f>
        <v>0.44949960962452978</v>
      </c>
      <c r="E33" s="1">
        <f>((Feuil1archive!E35-MIN(Feuil1archive!E$2:E$42))/(MAX(Feuil1archive!E$2:E$42) - MIN(Feuil1archive!E$2:E$42)))</f>
        <v>0.56427976277998337</v>
      </c>
      <c r="F33" s="1">
        <f>((Feuil1archive!G35-MIN(Feuil1archive!G$2:G$42))/(MAX(Feuil1archive!G$2:G$42) - MIN(Feuil1archive!G$2:G$42)))</f>
        <v>0.50721249108345878</v>
      </c>
      <c r="G33" s="1">
        <f>((Feuil1archive!H35-MIN(Feuil1archive!H$2:H$42))/(MAX(Feuil1archive!H$2:H$42) - MIN(Feuil1archive!H$2:H$42)))</f>
        <v>0.38876796441357292</v>
      </c>
      <c r="H33" s="1">
        <f>((Feuil1archive!J35-MIN(Feuil1archive!J$2:J$42))/(MAX(Feuil1archive!J$2:J$42) - MIN(Feuil1archive!J$2:J$42)))</f>
        <v>0.93288590604026844</v>
      </c>
      <c r="I33" s="1">
        <f>((Feuil1archive!K35-MIN(Feuil1archive!K$2:K$42))/(MAX(Feuil1archive!K$2:K$42) - MIN(Feuil1archive!K$2:K$42)))</f>
        <v>0.10827608766764803</v>
      </c>
      <c r="J33" s="1">
        <f>((Feuil1archive!L35-MIN(Feuil1archive!L$2:L$42))/(MAX(Feuil1archive!L$2:L$42) - MIN(Feuil1archive!L$2:L$42)))</f>
        <v>0.44725962048128909</v>
      </c>
      <c r="K33" s="1">
        <f>((Feuil1archive!M35-MIN(Feuil1archive!M$2:M$42))/(MAX(Feuil1archive!M$2:M$42) - MIN(Feuil1archive!M$2:M$42)))</f>
        <v>0.23815487372156127</v>
      </c>
      <c r="L33" s="1">
        <f>((Feuil1archive!N35-MIN(Feuil1archive!N$2:N$42))/(MAX(Feuil1archive!N$2:N$42) - MIN(Feuil1archive!N$2:N$42)))</f>
        <v>2.8089887640449437E-2</v>
      </c>
      <c r="M33" s="1">
        <f>((Feuil1archive!O35-MIN(Feuil1archive!O$2:O$42))/(MAX(Feuil1archive!O$2:O$42) - MIN(Feuil1archive!O$2:O$42)))</f>
        <v>0.18294496777392166</v>
      </c>
      <c r="N33" s="1">
        <f>((Feuil1archive!P35-MIN(Feuil1archive!P$2:P$42))/(MAX(Feuil1archive!P$2:P$42) - MIN(Feuil1archive!P$2:P$42)))</f>
        <v>0.54902439024390248</v>
      </c>
      <c r="O33" s="1">
        <f>((Feuil1archive!Q35-MIN(Feuil1archive!Q$2:Q$42))/(MAX(Feuil1archive!Q$2:Q$42) - MIN(Feuil1archive!Q$2:Q$42)))</f>
        <v>0.83503054989816705</v>
      </c>
    </row>
    <row r="34" spans="1:15" x14ac:dyDescent="0.3">
      <c r="A34" s="31" t="s">
        <v>56</v>
      </c>
      <c r="B34" s="1">
        <f>((Feuil1archive!B36-MIN(Feuil1archive!B$2:B$42))/(MAX(Feuil1archive!B$2:B$42) - MIN(Feuil1archive!B$2:B$42)))</f>
        <v>0.51061610211094755</v>
      </c>
      <c r="C34" s="1">
        <f>((Feuil1archive!C36-MIN(Feuil1archive!C$2:C$42))/(MAX(Feuil1archive!C$2:C$42) - MIN(Feuil1archive!C$2:C$42)))</f>
        <v>0.95359675648736197</v>
      </c>
      <c r="D34" s="1">
        <f>((Feuil1archive!D36-MIN(Feuil1archive!D$2:D$42))/(MAX(Feuil1archive!D$2:D$42) - MIN(Feuil1archive!D$2:D$42)))</f>
        <v>0.15607921073177655</v>
      </c>
      <c r="E34" s="1">
        <f>((Feuil1archive!E36-MIN(Feuil1archive!E$2:E$42))/(MAX(Feuil1archive!E$2:E$42) - MIN(Feuil1archive!E$2:E$42)))</f>
        <v>0.60525412929471156</v>
      </c>
      <c r="F34" s="1">
        <f>((Feuil1archive!G36-MIN(Feuil1archive!G$2:G$42))/(MAX(Feuil1archive!G$2:G$42) - MIN(Feuil1archive!G$2:G$42)))</f>
        <v>0.40134342553697394</v>
      </c>
      <c r="G34" s="1">
        <f>((Feuil1archive!H36-MIN(Feuil1archive!H$2:H$42))/(MAX(Feuil1archive!H$2:H$42) - MIN(Feuil1archive!H$2:H$42)))</f>
        <v>0.60861108844514777</v>
      </c>
      <c r="H34" s="1">
        <f>((Feuil1archive!J36-MIN(Feuil1archive!J$2:J$42))/(MAX(Feuil1archive!J$2:J$42) - MIN(Feuil1archive!J$2:J$42)))</f>
        <v>0.93288590604026844</v>
      </c>
      <c r="I34" s="1">
        <f>((Feuil1archive!K36-MIN(Feuil1archive!K$2:K$42))/(MAX(Feuil1archive!K$2:K$42) - MIN(Feuil1archive!K$2:K$42)))</f>
        <v>0.66961072947333988</v>
      </c>
      <c r="J34" s="1">
        <f>((Feuil1archive!L36-MIN(Feuil1archive!L$2:L$42))/(MAX(Feuil1archive!L$2:L$42) - MIN(Feuil1archive!L$2:L$42)))</f>
        <v>0.60606381850948798</v>
      </c>
      <c r="K34" s="1">
        <f>((Feuil1archive!M36-MIN(Feuil1archive!M$2:M$42))/(MAX(Feuil1archive!M$2:M$42) - MIN(Feuil1archive!M$2:M$42)))</f>
        <v>0.56237389549850414</v>
      </c>
      <c r="L34" s="1">
        <f>((Feuil1archive!N36-MIN(Feuil1archive!N$2:N$42))/(MAX(Feuil1archive!N$2:N$42) - MIN(Feuil1archive!N$2:N$42)))</f>
        <v>0.2893258426966292</v>
      </c>
      <c r="M34" s="1">
        <f>((Feuil1archive!O36-MIN(Feuil1archive!O$2:O$42))/(MAX(Feuil1archive!O$2:O$42) - MIN(Feuil1archive!O$2:O$42)))</f>
        <v>0.16658403569657909</v>
      </c>
      <c r="N34" s="1">
        <f>((Feuil1archive!P36-MIN(Feuil1archive!P$2:P$42))/(MAX(Feuil1archive!P$2:P$42) - MIN(Feuil1archive!P$2:P$42)))</f>
        <v>1</v>
      </c>
      <c r="O34" s="1">
        <f>((Feuil1archive!Q36-MIN(Feuil1archive!Q$2:Q$42))/(MAX(Feuil1archive!Q$2:Q$42) - MIN(Feuil1archive!Q$2:Q$42)))</f>
        <v>0.94908350305498979</v>
      </c>
    </row>
    <row r="35" spans="1:15" x14ac:dyDescent="0.3">
      <c r="A35" s="31" t="s">
        <v>57</v>
      </c>
      <c r="B35" s="1">
        <f>((Feuil1archive!B37-MIN(Feuil1archive!B$2:B$42))/(MAX(Feuil1archive!B$2:B$42) - MIN(Feuil1archive!B$2:B$42)))</f>
        <v>0.51061610211094755</v>
      </c>
      <c r="C35" s="1">
        <f>((Feuil1archive!C37-MIN(Feuil1archive!C$2:C$42))/(MAX(Feuil1archive!C$2:C$42) - MIN(Feuil1archive!C$2:C$42)))</f>
        <v>0.93931883540655037</v>
      </c>
      <c r="D35" s="1">
        <f>((Feuil1archive!D37-MIN(Feuil1archive!D$2:D$42))/(MAX(Feuil1archive!D$2:D$42) - MIN(Feuil1archive!D$2:D$42)))</f>
        <v>0.1610949440461826</v>
      </c>
      <c r="E35" s="1">
        <f>((Feuil1archive!E37-MIN(Feuil1archive!E$2:E$42))/(MAX(Feuil1archive!E$2:E$42) - MIN(Feuil1archive!E$2:E$42)))</f>
        <v>0.60525412929471156</v>
      </c>
      <c r="F35" s="1">
        <f>((Feuil1archive!G37-MIN(Feuil1archive!G$2:G$42))/(MAX(Feuil1archive!G$2:G$42) - MIN(Feuil1archive!G$2:G$42)))</f>
        <v>0.40134342553697394</v>
      </c>
      <c r="G35" s="1">
        <f>((Feuil1archive!H37-MIN(Feuil1archive!H$2:H$42))/(MAX(Feuil1archive!H$2:H$42) - MIN(Feuil1archive!H$2:H$42)))</f>
        <v>0.60861108844514777</v>
      </c>
      <c r="H35" s="1">
        <f>((Feuil1archive!J37-MIN(Feuil1archive!J$2:J$42))/(MAX(Feuil1archive!J$2:J$42) - MIN(Feuil1archive!J$2:J$42)))</f>
        <v>0.93288590604026844</v>
      </c>
      <c r="I35" s="1">
        <f>((Feuil1archive!K37-MIN(Feuil1archive!K$2:K$42))/(MAX(Feuil1archive!K$2:K$42) - MIN(Feuil1archive!K$2:K$42)))</f>
        <v>0.65080143931959433</v>
      </c>
      <c r="J35" s="1">
        <f>((Feuil1archive!L37-MIN(Feuil1archive!L$2:L$42))/(MAX(Feuil1archive!L$2:L$42) - MIN(Feuil1archive!L$2:L$42)))</f>
        <v>0.62111735397010492</v>
      </c>
      <c r="K35" s="1">
        <f>((Feuil1archive!M37-MIN(Feuil1archive!M$2:M$42))/(MAX(Feuil1archive!M$2:M$42) - MIN(Feuil1archive!M$2:M$42)))</f>
        <v>0.56237389549850414</v>
      </c>
      <c r="L35" s="1">
        <f>((Feuil1archive!N37-MIN(Feuil1archive!N$2:N$42))/(MAX(Feuil1archive!N$2:N$42) - MIN(Feuil1archive!N$2:N$42)))</f>
        <v>0.2893258426966292</v>
      </c>
      <c r="M35" s="1">
        <f>((Feuil1archive!O37-MIN(Feuil1archive!O$2:O$42))/(MAX(Feuil1archive!O$2:O$42) - MIN(Feuil1archive!O$2:O$42)))</f>
        <v>0.16658403569657909</v>
      </c>
      <c r="N35" s="1">
        <f>((Feuil1archive!P37-MIN(Feuil1archive!P$2:P$42))/(MAX(Feuil1archive!P$2:P$42) - MIN(Feuil1archive!P$2:P$42)))</f>
        <v>1</v>
      </c>
      <c r="O35" s="1">
        <f>((Feuil1archive!Q37-MIN(Feuil1archive!Q$2:Q$42))/(MAX(Feuil1archive!Q$2:Q$42) - MIN(Feuil1archive!Q$2:Q$42)))</f>
        <v>0.86354378818737276</v>
      </c>
    </row>
    <row r="36" spans="1:15" x14ac:dyDescent="0.3">
      <c r="A36" s="31" t="s">
        <v>58</v>
      </c>
      <c r="B36" s="1">
        <f>((Feuil1archive!B38-MIN(Feuil1archive!B$2:B$42))/(MAX(Feuil1archive!B$2:B$42) - MIN(Feuil1archive!B$2:B$42)))</f>
        <v>0.51099110892925326</v>
      </c>
      <c r="C36" s="1">
        <f>((Feuil1archive!C38-MIN(Feuil1archive!C$2:C$42))/(MAX(Feuil1archive!C$2:C$42) - MIN(Feuil1archive!C$2:C$42)))</f>
        <v>1</v>
      </c>
      <c r="D36" s="1">
        <f>((Feuil1archive!D38-MIN(Feuil1archive!D$2:D$42))/(MAX(Feuil1archive!D$2:D$42) - MIN(Feuil1archive!D$2:D$42)))</f>
        <v>0.14055882840040693</v>
      </c>
      <c r="E36" s="1">
        <f>((Feuil1archive!E38-MIN(Feuil1archive!E$2:E$42))/(MAX(Feuil1archive!E$2:E$42) - MIN(Feuil1archive!E$2:E$42)))</f>
        <v>0.60525412929471156</v>
      </c>
      <c r="F36" s="1">
        <f>((Feuil1archive!G38-MIN(Feuil1archive!G$2:G$42))/(MAX(Feuil1archive!G$2:G$42) - MIN(Feuil1archive!G$2:G$42)))</f>
        <v>0.40199730522311167</v>
      </c>
      <c r="G36" s="1">
        <f>((Feuil1archive!H38-MIN(Feuil1archive!H$2:H$42))/(MAX(Feuil1archive!H$2:H$42) - MIN(Feuil1archive!H$2:H$42)))</f>
        <v>0.60735089017913169</v>
      </c>
      <c r="H36" s="1">
        <f>((Feuil1archive!J38-MIN(Feuil1archive!J$2:J$42))/(MAX(Feuil1archive!J$2:J$42) - MIN(Feuil1archive!J$2:J$42)))</f>
        <v>0.93288590604026844</v>
      </c>
      <c r="I36" s="1">
        <f>((Feuil1archive!K38-MIN(Feuil1archive!K$2:K$42))/(MAX(Feuil1archive!K$2:K$42) - MIN(Feuil1archive!K$2:K$42)))</f>
        <v>1</v>
      </c>
      <c r="J36" s="1">
        <f>((Feuil1archive!L38-MIN(Feuil1archive!L$2:L$42))/(MAX(Feuil1archive!L$2:L$42) - MIN(Feuil1archive!L$2:L$42)))</f>
        <v>0.55899501749178415</v>
      </c>
      <c r="K36" s="1">
        <f>((Feuil1archive!M38-MIN(Feuil1archive!M$2:M$42))/(MAX(Feuil1archive!M$2:M$42) - MIN(Feuil1archive!M$2:M$42)))</f>
        <v>0.56237389549850414</v>
      </c>
      <c r="L36" s="1">
        <f>((Feuil1archive!N38-MIN(Feuil1archive!N$2:N$42))/(MAX(Feuil1archive!N$2:N$42) - MIN(Feuil1archive!N$2:N$42)))</f>
        <v>0.2893258426966292</v>
      </c>
      <c r="M36" s="1">
        <f>((Feuil1archive!O38-MIN(Feuil1archive!O$2:O$42))/(MAX(Feuil1archive!O$2:O$42) - MIN(Feuil1archive!O$2:O$42)))</f>
        <v>0.16658403569657909</v>
      </c>
      <c r="N36" s="1">
        <f>((Feuil1archive!P38-MIN(Feuil1archive!P$2:P$42))/(MAX(Feuil1archive!P$2:P$42) - MIN(Feuil1archive!P$2:P$42)))</f>
        <v>0.70512195121951216</v>
      </c>
      <c r="O36" s="1">
        <f>((Feuil1archive!Q38-MIN(Feuil1archive!Q$2:Q$42))/(MAX(Feuil1archive!Q$2:Q$42) - MIN(Feuil1archive!Q$2:Q$42)))</f>
        <v>1</v>
      </c>
    </row>
    <row r="37" spans="1:15" x14ac:dyDescent="0.3">
      <c r="A37" s="31" t="s">
        <v>59</v>
      </c>
      <c r="B37" s="1">
        <f>((Feuil1archive!B39-MIN(Feuil1archive!B$2:B$42))/(MAX(Feuil1archive!B$2:B$42) - MIN(Feuil1archive!B$2:B$42)))</f>
        <v>0.51060473826796859</v>
      </c>
      <c r="C37" s="1">
        <f>((Feuil1archive!C39-MIN(Feuil1archive!C$2:C$42))/(MAX(Feuil1archive!C$2:C$42) - MIN(Feuil1archive!C$2:C$42)))</f>
        <v>0.6632565782827432</v>
      </c>
      <c r="D37" s="1">
        <f>((Feuil1archive!D39-MIN(Feuil1archive!D$2:D$42))/(MAX(Feuil1archive!D$2:D$42) - MIN(Feuil1archive!D$2:D$42)))</f>
        <v>0.25805001537842759</v>
      </c>
      <c r="E37" s="1">
        <f>((Feuil1archive!E39-MIN(Feuil1archive!E$2:E$42))/(MAX(Feuil1archive!E$2:E$42) - MIN(Feuil1archive!E$2:E$42)))</f>
        <v>0.60525412929471156</v>
      </c>
      <c r="F37" s="1">
        <f>((Feuil1archive!G39-MIN(Feuil1archive!G$2:G$42))/(MAX(Feuil1archive!G$2:G$42) - MIN(Feuil1archive!G$2:G$42)))</f>
        <v>0.40132361100103037</v>
      </c>
      <c r="G37" s="1">
        <f>((Feuil1archive!H39-MIN(Feuil1archive!H$2:H$42))/(MAX(Feuil1archive!H$2:H$42) - MIN(Feuil1archive!H$2:H$42)))</f>
        <v>0.60864931886597495</v>
      </c>
      <c r="H37" s="1">
        <f>((Feuil1archive!J39-MIN(Feuil1archive!J$2:J$42))/(MAX(Feuil1archive!J$2:J$42) - MIN(Feuil1archive!J$2:J$42)))</f>
        <v>0.93288590604026844</v>
      </c>
      <c r="I37" s="1">
        <f>((Feuil1archive!K39-MIN(Feuil1archive!K$2:K$42))/(MAX(Feuil1archive!K$2:K$42) - MIN(Feuil1archive!K$2:K$42)))</f>
        <v>0.22980045796532547</v>
      </c>
      <c r="J37" s="1">
        <f>((Feuil1archive!L39-MIN(Feuil1archive!L$2:L$42))/(MAX(Feuil1archive!L$2:L$42) - MIN(Feuil1archive!L$2:L$42)))</f>
        <v>0.49305629174175764</v>
      </c>
      <c r="K37" s="1">
        <f>((Feuil1archive!M39-MIN(Feuil1archive!M$2:M$42))/(MAX(Feuil1archive!M$2:M$42) - MIN(Feuil1archive!M$2:M$42)))</f>
        <v>0.56237389549850414</v>
      </c>
      <c r="L37" s="1">
        <f>((Feuil1archive!N39-MIN(Feuil1archive!N$2:N$42))/(MAX(Feuil1archive!N$2:N$42) - MIN(Feuil1archive!N$2:N$42)))</f>
        <v>0.2893258426966292</v>
      </c>
      <c r="M37" s="1">
        <f>((Feuil1archive!O39-MIN(Feuil1archive!O$2:O$42))/(MAX(Feuil1archive!O$2:O$42) - MIN(Feuil1archive!O$2:O$42)))</f>
        <v>0.16658403569657909</v>
      </c>
      <c r="N37" s="1">
        <f>((Feuil1archive!P39-MIN(Feuil1archive!P$2:P$42))/(MAX(Feuil1archive!P$2:P$42) - MIN(Feuil1archive!P$2:P$42)))</f>
        <v>0.87682926829268293</v>
      </c>
      <c r="O37" s="1">
        <f>((Feuil1archive!Q39-MIN(Feuil1archive!Q$2:Q$42))/(MAX(Feuil1archive!Q$2:Q$42) - MIN(Feuil1archive!Q$2:Q$42)))</f>
        <v>0.65173116089613037</v>
      </c>
    </row>
    <row r="38" spans="1:15" x14ac:dyDescent="0.3">
      <c r="A38" s="31" t="s">
        <v>60</v>
      </c>
      <c r="B38" s="1">
        <f>((Feuil1archive!B40-MIN(Feuil1archive!B$2:B$42))/(MAX(Feuil1archive!B$2:B$42) - MIN(Feuil1archive!B$2:B$42)))</f>
        <v>0.51061610211094755</v>
      </c>
      <c r="C38" s="1">
        <f>((Feuil1archive!C40-MIN(Feuil1archive!C$2:C$42))/(MAX(Feuil1archive!C$2:C$42) - MIN(Feuil1archive!C$2:C$42)))</f>
        <v>0.62325145978273311</v>
      </c>
      <c r="D38" s="1">
        <f>((Feuil1archive!D40-MIN(Feuil1archive!D$2:D$42))/(MAX(Feuil1archive!D$2:D$42) - MIN(Feuil1archive!D$2:D$42)))</f>
        <v>0.27212719142593511</v>
      </c>
      <c r="E38" s="1">
        <f>((Feuil1archive!E40-MIN(Feuil1archive!E$2:E$42))/(MAX(Feuil1archive!E$2:E$42) - MIN(Feuil1archive!E$2:E$42)))</f>
        <v>0.60525412929471156</v>
      </c>
      <c r="F38" s="1">
        <f>((Feuil1archive!G40-MIN(Feuil1archive!G$2:G$42))/(MAX(Feuil1archive!G$2:G$42) - MIN(Feuil1archive!G$2:G$42)))</f>
        <v>0.40134342553697394</v>
      </c>
      <c r="G38" s="1">
        <f>((Feuil1archive!H40-MIN(Feuil1archive!H$2:H$42))/(MAX(Feuil1archive!H$2:H$42) - MIN(Feuil1archive!H$2:H$42)))</f>
        <v>0.60861108844514777</v>
      </c>
      <c r="H38" s="1">
        <f>((Feuil1archive!J40-MIN(Feuil1archive!J$2:J$42))/(MAX(Feuil1archive!J$2:J$42) - MIN(Feuil1archive!J$2:J$42)))</f>
        <v>0.93288590604026844</v>
      </c>
      <c r="I38" s="1">
        <f>((Feuil1archive!K40-MIN(Feuil1archive!K$2:K$42))/(MAX(Feuil1archive!K$2:K$42) - MIN(Feuil1archive!K$2:K$42)))</f>
        <v>0.19414458619561661</v>
      </c>
      <c r="J38" s="1">
        <f>((Feuil1archive!L40-MIN(Feuil1archive!L$2:L$42))/(MAX(Feuil1archive!L$2:L$42) - MIN(Feuil1archive!L$2:L$42)))</f>
        <v>0.49793278914449274</v>
      </c>
      <c r="K38" s="1">
        <f>((Feuil1archive!M40-MIN(Feuil1archive!M$2:M$42))/(MAX(Feuil1archive!M$2:M$42) - MIN(Feuil1archive!M$2:M$42)))</f>
        <v>0.56237389549850414</v>
      </c>
      <c r="L38" s="1">
        <f>((Feuil1archive!N40-MIN(Feuil1archive!N$2:N$42))/(MAX(Feuil1archive!N$2:N$42) - MIN(Feuil1archive!N$2:N$42)))</f>
        <v>0.2893258426966292</v>
      </c>
      <c r="M38" s="1">
        <f>((Feuil1archive!O40-MIN(Feuil1archive!O$2:O$42))/(MAX(Feuil1archive!O$2:O$42) - MIN(Feuil1archive!O$2:O$42)))</f>
        <v>0.16658403569657909</v>
      </c>
      <c r="N38" s="1">
        <f>((Feuil1archive!P40-MIN(Feuil1archive!P$2:P$42))/(MAX(Feuil1archive!P$2:P$42) - MIN(Feuil1archive!P$2:P$42)))</f>
        <v>0.79975609756097565</v>
      </c>
      <c r="O38" s="1">
        <f>((Feuil1archive!Q40-MIN(Feuil1archive!Q$2:Q$42))/(MAX(Feuil1archive!Q$2:Q$42) - MIN(Feuil1archive!Q$2:Q$42)))</f>
        <v>0.60947046843177188</v>
      </c>
    </row>
    <row r="39" spans="1:15" x14ac:dyDescent="0.3">
      <c r="A39" s="31" t="s">
        <v>61</v>
      </c>
      <c r="B39" s="1">
        <f>((Feuil1archive!B41-MIN(Feuil1archive!B$2:B$42))/(MAX(Feuil1archive!B$2:B$42) - MIN(Feuil1archive!B$2:B$42)))</f>
        <v>2.1289023436789758E-2</v>
      </c>
      <c r="C39" s="1">
        <f>((Feuil1archive!C41-MIN(Feuil1archive!C$2:C$42))/(MAX(Feuil1archive!C$2:C$42) - MIN(Feuil1archive!C$2:C$42)))</f>
        <v>0.12897946538614366</v>
      </c>
      <c r="D39" s="1">
        <f>((Feuil1archive!D41-MIN(Feuil1archive!D$2:D$42))/(MAX(Feuil1archive!D$2:D$42) - MIN(Feuil1archive!D$2:D$42)))</f>
        <v>1.1332718196228737E-2</v>
      </c>
      <c r="E39" s="1">
        <f>((Feuil1archive!E41-MIN(Feuil1archive!E$2:E$42))/(MAX(Feuil1archive!E$2:E$42) - MIN(Feuil1archive!E$2:E$42)))</f>
        <v>0</v>
      </c>
      <c r="F39" s="1">
        <f>((Feuil1archive!G41-MIN(Feuil1archive!G$2:G$42))/(MAX(Feuil1archive!G$2:G$42) - MIN(Feuil1archive!G$2:G$42)))</f>
        <v>3.7508916541174608E-2</v>
      </c>
      <c r="G39" s="1">
        <f>((Feuil1archive!H41-MIN(Feuil1archive!H$2:H$42))/(MAX(Feuil1archive!H$2:H$42) - MIN(Feuil1archive!H$2:H$42)))</f>
        <v>8.7518022705700887E-2</v>
      </c>
      <c r="H39" s="1">
        <f>((Feuil1archive!J41-MIN(Feuil1archive!J$2:J$42))/(MAX(Feuil1archive!J$2:J$42) - MIN(Feuil1archive!J$2:J$42)))</f>
        <v>8.0536912751677847E-2</v>
      </c>
      <c r="I39" s="1">
        <f>((Feuil1archive!K41-MIN(Feuil1archive!K$2:K$42))/(MAX(Feuil1archive!K$2:K$42) - MIN(Feuil1archive!K$2:K$42)))</f>
        <v>9.7971867844291793E-2</v>
      </c>
      <c r="J39" s="1">
        <f>((Feuil1archive!L41-MIN(Feuil1archive!L$2:L$42))/(MAX(Feuil1archive!L$2:L$42) - MIN(Feuil1archive!L$2:L$42)))</f>
        <v>4.8022898335630233E-2</v>
      </c>
      <c r="K39" s="1">
        <f>((Feuil1archive!M41-MIN(Feuil1archive!M$2:M$42))/(MAX(Feuil1archive!M$2:M$42) - MIN(Feuil1archive!M$2:M$42)))</f>
        <v>8.2307103597022188E-2</v>
      </c>
      <c r="L39" s="1">
        <f>((Feuil1archive!N41-MIN(Feuil1archive!N$2:N$42))/(MAX(Feuil1archive!N$2:N$42) - MIN(Feuil1archive!N$2:N$42)))</f>
        <v>0.17134831460674158</v>
      </c>
      <c r="M39" s="1">
        <f>((Feuil1archive!O41-MIN(Feuil1archive!O$2:O$42))/(MAX(Feuil1archive!O$2:O$42) - MIN(Feuil1archive!O$2:O$42)))</f>
        <v>0.26772434308378779</v>
      </c>
      <c r="N39" s="1">
        <f>((Feuil1archive!P41-MIN(Feuil1archive!P$2:P$42))/(MAX(Feuil1archive!P$2:P$42) - MIN(Feuil1archive!P$2:P$42)))</f>
        <v>0</v>
      </c>
      <c r="O39" s="1">
        <f>((Feuil1archive!Q41-MIN(Feuil1archive!Q$2:Q$42))/(MAX(Feuil1archive!Q$2:Q$42) - MIN(Feuil1archive!Q$2:Q$42)))</f>
        <v>0.25509164969450104</v>
      </c>
    </row>
    <row r="40" spans="1:15" x14ac:dyDescent="0.3">
      <c r="A40" s="31" t="s">
        <v>62</v>
      </c>
      <c r="B40" s="1">
        <f>((Feuil1archive!B42-MIN(Feuil1archive!B$2:B$42))/(MAX(Feuil1archive!B$2:B$42) - MIN(Feuil1archive!B$2:B$42)))</f>
        <v>0.44676266841215301</v>
      </c>
      <c r="C40" s="1">
        <f>((Feuil1archive!C42-MIN(Feuil1archive!C$2:C$42))/(MAX(Feuil1archive!C$2:C$42) - MIN(Feuil1archive!C$2:C$42)))</f>
        <v>0.69464106518679158</v>
      </c>
      <c r="D40" s="1">
        <f>((Feuil1archive!D42-MIN(Feuil1archive!D$2:D$42))/(MAX(Feuil1archive!D$2:D$42) - MIN(Feuil1archive!D$2:D$42)))</f>
        <v>0.15813755412023564</v>
      </c>
      <c r="E40" s="1">
        <f>((Feuil1archive!E42-MIN(Feuil1archive!E$2:E$42))/(MAX(Feuil1archive!E$2:E$42) - MIN(Feuil1archive!E$2:E$42)))</f>
        <v>0.55964809096701462</v>
      </c>
      <c r="F40" s="1">
        <f>((Feuil1archive!G42-MIN(Feuil1archive!G$2:G$42))/(MAX(Feuil1archive!G$2:G$42) - MIN(Feuil1archive!G$2:G$42)))</f>
        <v>0.32688039946104464</v>
      </c>
      <c r="G40" s="1">
        <f>((Feuil1archive!H42-MIN(Feuil1archive!H$2:H$42))/(MAX(Feuil1archive!H$2:H$42) - MIN(Feuil1archive!H$2:H$42)))</f>
        <v>0.71124150953773424</v>
      </c>
      <c r="H40" s="1">
        <f>((Feuil1archive!J42-MIN(Feuil1archive!J$2:J$42))/(MAX(Feuil1archive!J$2:J$42) - MIN(Feuil1archive!J$2:J$42)))</f>
        <v>0.93288590604026844</v>
      </c>
      <c r="I40" s="1">
        <f>((Feuil1archive!K42-MIN(Feuil1archive!K$2:K$42))/(MAX(Feuil1archive!K$2:K$42) - MIN(Feuil1archive!K$2:K$42)))</f>
        <v>0.73405299313052008</v>
      </c>
      <c r="J40" s="1">
        <f>((Feuil1archive!L42-MIN(Feuil1archive!L$2:L$42))/(MAX(Feuil1archive!L$2:L$42) - MIN(Feuil1archive!L$2:L$42)))</f>
        <v>0.44513940421923037</v>
      </c>
      <c r="K40" s="1">
        <f>((Feuil1archive!M42-MIN(Feuil1archive!M$2:M$42))/(MAX(Feuil1archive!M$2:M$42) - MIN(Feuil1archive!M$2:M$42)))</f>
        <v>1</v>
      </c>
      <c r="L40" s="1">
        <f>((Feuil1archive!N42-MIN(Feuil1archive!N$2:N$42))/(MAX(Feuil1archive!N$2:N$42) - MIN(Feuil1archive!N$2:N$42)))</f>
        <v>0.16432584269662923</v>
      </c>
      <c r="M40" s="1">
        <f>((Feuil1archive!O42-MIN(Feuil1archive!O$2:O$42))/(MAX(Feuil1archive!O$2:O$42) - MIN(Feuil1archive!O$2:O$42)))</f>
        <v>0.51561725334655428</v>
      </c>
      <c r="N40" s="1">
        <f>((Feuil1archive!P42-MIN(Feuil1archive!P$2:P$42))/(MAX(Feuil1archive!P$2:P$42) - MIN(Feuil1archive!P$2:P$42)))</f>
        <v>0.32414634146341464</v>
      </c>
      <c r="O40" s="1">
        <f>((Feuil1archive!Q42-MIN(Feuil1archive!Q$2:Q$42))/(MAX(Feuil1archive!Q$2:Q$42) - MIN(Feuil1archive!Q$2:Q$42)))</f>
        <v>0</v>
      </c>
    </row>
    <row r="41" spans="1:15" x14ac:dyDescent="0.3">
      <c r="A41" s="31" t="s">
        <v>63</v>
      </c>
      <c r="B41" s="1">
        <f>((Feuil1archive!B12-MIN(Feuil1archive!B$2:B$42))/(MAX(Feuil1archive!B$2:B$42) - MIN(Feuil1archive!B$2:B$42)))</f>
        <v>7.5153639157075583E-2</v>
      </c>
      <c r="C41" s="1">
        <f>((Feuil1archive!C12-MIN(Feuil1archive!C$2:C$42))/(MAX(Feuil1archive!C$2:C$42) - MIN(Feuil1archive!C$2:C$42)))</f>
        <v>0.4062539988281329</v>
      </c>
      <c r="D41" s="1">
        <f>((Feuil1archive!D12-MIN(Feuil1archive!D$2:D$42))/(MAX(Feuil1archive!D$2:D$42) - MIN(Feuil1archive!D$2:D$42)))</f>
        <v>0</v>
      </c>
      <c r="E41" s="1">
        <f>((Feuil1archive!E12-MIN(Feuil1archive!E$2:E$42))/(MAX(Feuil1archive!E$2:E$42) - MIN(Feuil1archive!E$2:E$42)))</f>
        <v>2.703033867568495E-2</v>
      </c>
      <c r="F41" s="1">
        <f>((Feuil1archive!G12-MIN(Feuil1archive!G$2:G$42))/(MAX(Feuil1archive!G$2:G$42) - MIN(Feuil1archive!G$2:G$42)))</f>
        <v>0.10957438376793216</v>
      </c>
      <c r="G41" s="1">
        <f>((Feuil1archive!H12-MIN(Feuil1archive!H$2:H$42))/(MAX(Feuil1archive!H$2:H$42) - MIN(Feuil1archive!H$2:H$42)))</f>
        <v>9.6491640888153776E-2</v>
      </c>
      <c r="H41" s="1">
        <f>((Feuil1archive!J12-MIN(Feuil1archive!J$2:J$42))/(MAX(Feuil1archive!J$2:J$42) - MIN(Feuil1archive!J$2:J$42)))</f>
        <v>0.93288590604026844</v>
      </c>
      <c r="I41" s="1">
        <f>((Feuil1archive!K12-MIN(Feuil1archive!K$2:K$42))/(MAX(Feuil1archive!K$2:K$42) - MIN(Feuil1archive!K$2:K$42)))</f>
        <v>0.18204121687929342</v>
      </c>
      <c r="J41" s="1">
        <f>((Feuil1archive!L12-MIN(Feuil1archive!L$2:L$42))/(MAX(Feuil1archive!L$2:L$42) - MIN(Feuil1archive!L$2:L$42)))</f>
        <v>0.19792218806318246</v>
      </c>
      <c r="K41" s="1">
        <f>((Feuil1archive!M12-MIN(Feuil1archive!M$2:M$42))/(MAX(Feuil1archive!M$2:M$42) - MIN(Feuil1archive!M$2:M$42)))</f>
        <v>0.15118625200027833</v>
      </c>
      <c r="L41" s="1">
        <f>((Feuil1archive!N12-MIN(Feuil1archive!N$2:N$42))/(MAX(Feuil1archive!N$2:N$42) - MIN(Feuil1archive!N$2:N$42)))</f>
        <v>1</v>
      </c>
      <c r="M41" s="1">
        <f>((Feuil1archive!O12-MIN(Feuil1archive!O$2:O$42))/(MAX(Feuil1archive!O$2:O$42) - MIN(Feuil1archive!O$2:O$42)))</f>
        <v>0.23450669310857711</v>
      </c>
      <c r="N41" s="1">
        <f>((Feuil1archive!P12-MIN(Feuil1archive!P$2:P$42))/(MAX(Feuil1archive!P$2:P$42) - MIN(Feuil1archive!P$2:P$42)))</f>
        <v>0.41780487804878047</v>
      </c>
      <c r="O41" s="1">
        <f>((Feuil1archive!Q12-MIN(Feuil1archive!Q$2:Q$42))/(MAX(Feuil1archive!Q$2:Q$42) - MIN(Feuil1archive!Q$2:Q$42)))</f>
        <v>0.24032586558044808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Z47"/>
  <sheetViews>
    <sheetView tabSelected="1" topLeftCell="A10" zoomScale="62" zoomScaleNormal="70" workbookViewId="0">
      <pane xSplit="1" topLeftCell="B1" activePane="topRight" state="frozen"/>
      <selection pane="topRight" activeCell="AA55" sqref="AA55"/>
    </sheetView>
  </sheetViews>
  <sheetFormatPr baseColWidth="10" defaultRowHeight="14.4" x14ac:dyDescent="0.3"/>
  <cols>
    <col min="1" max="1" width="21" bestFit="1" customWidth="1"/>
    <col min="2" max="2" width="20" customWidth="1"/>
    <col min="3" max="3" width="7.33203125" customWidth="1"/>
    <col min="4" max="5" width="11.5546875" customWidth="1"/>
    <col min="6" max="6" width="9.5546875" customWidth="1"/>
    <col min="7" max="8" width="11.5546875" customWidth="1"/>
    <col min="9" max="9" width="7.77734375" customWidth="1"/>
    <col min="10" max="14" width="11.5546875" customWidth="1"/>
    <col min="15" max="15" width="17.88671875" customWidth="1"/>
    <col min="16" max="16" width="8.44140625" bestFit="1" customWidth="1"/>
    <col min="17" max="17" width="6.77734375" bestFit="1" customWidth="1"/>
    <col min="18" max="18" width="6.6640625" customWidth="1"/>
    <col min="19" max="21" width="11.6640625" bestFit="1" customWidth="1"/>
    <col min="22" max="22" width="11.5546875" style="28"/>
    <col min="26" max="26" width="12" bestFit="1" customWidth="1"/>
  </cols>
  <sheetData>
    <row r="1" spans="1:26" ht="15" thickBot="1" x14ac:dyDescent="0.35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68</v>
      </c>
      <c r="G1" s="3" t="s">
        <v>33</v>
      </c>
      <c r="H1" s="3" t="s">
        <v>3</v>
      </c>
      <c r="I1" s="3" t="s">
        <v>65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8" t="s">
        <v>64</v>
      </c>
      <c r="S1" s="1" t="s">
        <v>24</v>
      </c>
      <c r="T1" s="1" t="s">
        <v>25</v>
      </c>
      <c r="U1" s="7" t="s">
        <v>29</v>
      </c>
      <c r="V1" s="27" t="s">
        <v>27</v>
      </c>
    </row>
    <row r="2" spans="1:26" x14ac:dyDescent="0.3">
      <c r="A2" s="18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>B2-E2</f>
        <v>7667</v>
      </c>
      <c r="H2" s="13">
        <v>2265</v>
      </c>
      <c r="I2" s="19">
        <f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>SUM(K2:Q2)-C2</f>
        <v>0</v>
      </c>
      <c r="S2" s="1">
        <v>0.112</v>
      </c>
      <c r="T2" s="1">
        <f>S2*75</f>
        <v>8.4</v>
      </c>
      <c r="U2" s="1"/>
      <c r="Z2" cm="1">
        <f t="array" ref="Z2:Z32">SQRT(B2:B32)</f>
        <v>127.25564820470642</v>
      </c>
    </row>
    <row r="3" spans="1:26" x14ac:dyDescent="0.3">
      <c r="A3" s="18" t="s">
        <v>13</v>
      </c>
      <c r="B3" s="1">
        <f t="shared" ref="B3:B5" si="0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42" si="1">SUM(C3:E3)-B3</f>
        <v>0</v>
      </c>
      <c r="G3" s="6">
        <f>B3-E3</f>
        <v>1674</v>
      </c>
      <c r="H3" s="13">
        <v>1910</v>
      </c>
      <c r="I3" s="19">
        <f>J3*9.81*(LN(B3/(G3)))</f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>SUM(K3:Q3)-C3</f>
        <v>0</v>
      </c>
      <c r="S3" s="1"/>
      <c r="T3" s="1"/>
      <c r="U3" s="1"/>
      <c r="Z3">
        <v>70.983096579396985</v>
      </c>
    </row>
    <row r="4" spans="1:26" x14ac:dyDescent="0.3">
      <c r="A4" s="18" t="s">
        <v>14</v>
      </c>
      <c r="B4" s="1">
        <f t="shared" si="0"/>
        <v>60075</v>
      </c>
      <c r="C4" s="1">
        <v>9823</v>
      </c>
      <c r="D4" s="1">
        <v>25000</v>
      </c>
      <c r="E4" s="1">
        <v>25252</v>
      </c>
      <c r="F4" s="1">
        <f t="shared" si="1"/>
        <v>0</v>
      </c>
      <c r="G4" s="6">
        <f>B4-E4</f>
        <v>34823</v>
      </c>
      <c r="H4" s="13">
        <v>2100</v>
      </c>
      <c r="I4" s="19">
        <f>J4*9.81*(LN(B4/(G4)))</f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>SUM(K4:Q4)-C4</f>
        <v>0</v>
      </c>
      <c r="S4" s="1">
        <v>2</v>
      </c>
      <c r="T4" s="1">
        <f>S4*3*24</f>
        <v>144</v>
      </c>
      <c r="U4" s="1"/>
      <c r="Z4">
        <v>245.10201957552289</v>
      </c>
    </row>
    <row r="5" spans="1:26" x14ac:dyDescent="0.3">
      <c r="A5" s="18" t="s">
        <v>15</v>
      </c>
      <c r="B5" s="1">
        <f t="shared" si="0"/>
        <v>69298</v>
      </c>
      <c r="C5" s="1">
        <v>7899</v>
      </c>
      <c r="D5" s="1">
        <v>25000</v>
      </c>
      <c r="E5" s="1">
        <v>36399</v>
      </c>
      <c r="F5" s="1">
        <f t="shared" si="1"/>
        <v>0</v>
      </c>
      <c r="G5" s="6">
        <f>B5-E5</f>
        <v>32899</v>
      </c>
      <c r="H5" s="13">
        <v>2100</v>
      </c>
      <c r="I5" s="19">
        <f>J5*9.81*(LN(B5/(G5)))</f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>SUM(K5:Q5)-C5</f>
        <v>0</v>
      </c>
      <c r="S5" s="1">
        <v>2</v>
      </c>
      <c r="T5" s="1">
        <f>S5*3*24</f>
        <v>144</v>
      </c>
      <c r="U5" s="1"/>
      <c r="Z5">
        <v>263.24513290847375</v>
      </c>
    </row>
    <row r="6" spans="1:26" x14ac:dyDescent="0.3">
      <c r="A6" s="18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1"/>
        <v>0</v>
      </c>
      <c r="G6" s="6">
        <f>B6-E6</f>
        <v>48886</v>
      </c>
      <c r="H6" s="13">
        <v>3100</v>
      </c>
      <c r="I6" s="19">
        <f>J6*9.81*(LN(B6/(G6)))</f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>SUM(K6:Q6)-C6</f>
        <v>0</v>
      </c>
      <c r="S6" s="1"/>
      <c r="T6" s="1"/>
      <c r="U6" s="1"/>
      <c r="Z6">
        <v>305.01967149677409</v>
      </c>
    </row>
    <row r="7" spans="1:26" x14ac:dyDescent="0.3">
      <c r="A7" s="18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1"/>
        <v>0</v>
      </c>
      <c r="G7" s="6">
        <f>B7-E7</f>
        <v>22319</v>
      </c>
      <c r="H7" s="13">
        <v>2260</v>
      </c>
      <c r="I7" s="19">
        <f>J7*9.81*(LN(B7/(G7)))</f>
        <v>2592.325569657381</v>
      </c>
      <c r="J7" s="1">
        <v>379</v>
      </c>
      <c r="K7" s="4">
        <v>2822</v>
      </c>
      <c r="L7" s="1">
        <v>1749</v>
      </c>
      <c r="M7" s="1">
        <v>204</v>
      </c>
      <c r="N7" s="1">
        <v>818</v>
      </c>
      <c r="O7" s="1">
        <v>0</v>
      </c>
      <c r="P7" s="1">
        <v>265</v>
      </c>
      <c r="Q7" s="1">
        <v>0</v>
      </c>
      <c r="R7" s="1">
        <f>SUM(K7:Q7)-C7</f>
        <v>0</v>
      </c>
      <c r="S7" s="1"/>
      <c r="T7" s="1"/>
      <c r="U7" s="1"/>
      <c r="Z7">
        <v>211.70970691019343</v>
      </c>
    </row>
    <row r="8" spans="1:26" x14ac:dyDescent="0.3">
      <c r="A8" s="18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1"/>
        <v>0</v>
      </c>
      <c r="G8" s="6">
        <f>B8-E8</f>
        <v>35449</v>
      </c>
      <c r="H8" s="13">
        <v>1900</v>
      </c>
      <c r="I8" s="19">
        <f>J8*9.81*(LN(B8/(G8)))</f>
        <v>1923.7408979293918</v>
      </c>
      <c r="J8" s="1">
        <v>362</v>
      </c>
      <c r="K8" s="4">
        <v>2015</v>
      </c>
      <c r="L8" s="1">
        <v>2425</v>
      </c>
      <c r="M8" s="1">
        <v>553</v>
      </c>
      <c r="N8" s="1">
        <v>594</v>
      </c>
      <c r="O8" s="1">
        <f>777+295</f>
        <v>1072</v>
      </c>
      <c r="P8" s="1">
        <f>883+1764+694</f>
        <v>3341</v>
      </c>
      <c r="Q8" s="1">
        <v>1508</v>
      </c>
      <c r="R8" s="1">
        <f>SUM(K8:Q8)-C8</f>
        <v>0</v>
      </c>
      <c r="S8" s="1">
        <v>2</v>
      </c>
      <c r="T8" s="1"/>
      <c r="U8" s="1"/>
      <c r="Z8">
        <v>246.8501569778719</v>
      </c>
    </row>
    <row r="9" spans="1:26" x14ac:dyDescent="0.3">
      <c r="A9" s="18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1"/>
        <v>0</v>
      </c>
      <c r="G9" s="6">
        <f>B9-E9</f>
        <v>33156</v>
      </c>
      <c r="H9" s="13">
        <v>1900</v>
      </c>
      <c r="I9" s="19">
        <f>J9*9.81*(LN(B9/(G9)))</f>
        <v>1865.0157347582269</v>
      </c>
      <c r="J9" s="1">
        <v>351</v>
      </c>
      <c r="K9" s="4">
        <v>1985</v>
      </c>
      <c r="L9" s="1">
        <v>2347</v>
      </c>
      <c r="M9" s="1">
        <v>553</v>
      </c>
      <c r="N9" s="1">
        <v>594</v>
      </c>
      <c r="O9" s="1">
        <f>777+289</f>
        <v>1066</v>
      </c>
      <c r="P9" s="1">
        <f>867+1741+698</f>
        <v>3306</v>
      </c>
      <c r="Q9" s="1">
        <v>1483</v>
      </c>
      <c r="R9" s="1">
        <f>SUM(K9:Q9)-C9</f>
        <v>0</v>
      </c>
      <c r="S9" s="1">
        <v>2</v>
      </c>
      <c r="T9" s="1"/>
      <c r="U9" s="1"/>
      <c r="Z9">
        <v>238.72368964977062</v>
      </c>
    </row>
    <row r="10" spans="1:26" x14ac:dyDescent="0.3">
      <c r="A10" s="18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1"/>
        <v>0</v>
      </c>
      <c r="G10" s="6">
        <f>B10-E10</f>
        <v>26655</v>
      </c>
      <c r="H10" s="13">
        <v>1900</v>
      </c>
      <c r="I10" s="19">
        <f>J10*9.81*(LN(B10/(G10)))</f>
        <v>1928.1559006099681</v>
      </c>
      <c r="J10" s="1">
        <v>363</v>
      </c>
      <c r="K10" s="4">
        <v>1877</v>
      </c>
      <c r="L10" s="1">
        <v>1125</v>
      </c>
      <c r="M10" s="1">
        <v>553</v>
      </c>
      <c r="N10" s="1">
        <v>594</v>
      </c>
      <c r="O10" s="1">
        <f>777+272</f>
        <v>1049</v>
      </c>
      <c r="P10" s="1">
        <f>772+1286+717</f>
        <v>2775</v>
      </c>
      <c r="Q10" s="1">
        <v>1194</v>
      </c>
      <c r="R10" s="1">
        <f>SUM(K10:Q10)-C10</f>
        <v>0</v>
      </c>
      <c r="S10" s="1"/>
      <c r="T10" s="1"/>
      <c r="U10" s="1"/>
      <c r="Z10">
        <v>214.02569939145158</v>
      </c>
    </row>
    <row r="11" spans="1:26" x14ac:dyDescent="0.3">
      <c r="A11" s="18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1"/>
        <v>0</v>
      </c>
      <c r="G11" s="6">
        <f>B11-E11</f>
        <v>25491</v>
      </c>
      <c r="H11" s="13">
        <v>1900</v>
      </c>
      <c r="I11" s="19">
        <f>J11*9.81*(LN(B11/(G11)))</f>
        <v>1927.859237978244</v>
      </c>
      <c r="J11" s="1">
        <v>363</v>
      </c>
      <c r="K11" s="4">
        <v>1860</v>
      </c>
      <c r="L11" s="1">
        <v>1095</v>
      </c>
      <c r="M11" s="1">
        <v>553</v>
      </c>
      <c r="N11" s="1">
        <v>594</v>
      </c>
      <c r="O11" s="1">
        <f>777+269</f>
        <v>1046</v>
      </c>
      <c r="P11" s="1">
        <f>764+1264+719</f>
        <v>2747</v>
      </c>
      <c r="Q11" s="1">
        <v>1182</v>
      </c>
      <c r="R11" s="1">
        <f>SUM(K11:Q11)-C11</f>
        <v>0</v>
      </c>
      <c r="S11" s="1">
        <v>4.5</v>
      </c>
      <c r="T11" s="1"/>
      <c r="U11" s="1"/>
      <c r="Z11">
        <v>209.29166251907887</v>
      </c>
    </row>
    <row r="12" spans="1:26" x14ac:dyDescent="0.3">
      <c r="A12" s="18" t="s">
        <v>66</v>
      </c>
      <c r="B12" s="1">
        <v>11652</v>
      </c>
      <c r="C12" s="1">
        <f>6975+229</f>
        <v>7204</v>
      </c>
      <c r="D12" s="16">
        <v>1</v>
      </c>
      <c r="E12" s="1">
        <v>4448</v>
      </c>
      <c r="F12" s="1">
        <f t="shared" si="1"/>
        <v>1</v>
      </c>
      <c r="G12" s="6">
        <f>B12-E12</f>
        <v>7204</v>
      </c>
      <c r="H12" s="10">
        <f>J12*9.81*(LN(B12/(G12)))</f>
        <v>2122.6744123181657</v>
      </c>
      <c r="I12" s="19">
        <f>J12*9.81*(LN(B12/(G12)))</f>
        <v>2122.6744123181657</v>
      </c>
      <c r="J12" s="1">
        <v>450</v>
      </c>
      <c r="K12" s="4">
        <v>1564</v>
      </c>
      <c r="L12" s="1">
        <v>1186</v>
      </c>
      <c r="M12" s="1">
        <v>343</v>
      </c>
      <c r="N12" s="1">
        <v>1453</v>
      </c>
      <c r="O12" s="1">
        <f>473+0</f>
        <v>473</v>
      </c>
      <c r="P12" s="1">
        <f>1053+431+229</f>
        <v>1713</v>
      </c>
      <c r="Q12" s="1">
        <v>472</v>
      </c>
      <c r="R12" s="1">
        <f>SUM(K12:Q12)-C12</f>
        <v>0</v>
      </c>
      <c r="S12" s="1">
        <v>5</v>
      </c>
      <c r="T12" s="1"/>
      <c r="U12" s="1"/>
      <c r="Z12">
        <v>107.94443014810908</v>
      </c>
    </row>
    <row r="13" spans="1:26" ht="15" thickBot="1" x14ac:dyDescent="0.35">
      <c r="A13" s="18" t="s">
        <v>67</v>
      </c>
      <c r="B13" s="1">
        <v>53600</v>
      </c>
      <c r="C13" s="1">
        <f>8016+640+119</f>
        <v>8775</v>
      </c>
      <c r="D13" s="1">
        <f>20862</f>
        <v>20862</v>
      </c>
      <c r="E13" s="1">
        <v>23963</v>
      </c>
      <c r="F13" s="1">
        <f t="shared" si="1"/>
        <v>0</v>
      </c>
      <c r="G13" s="12">
        <f>B13-E13</f>
        <v>29637</v>
      </c>
      <c r="H13" s="21">
        <f>J13*9.81*(LN(B13/(G13)))</f>
        <v>2615.7037638902843</v>
      </c>
      <c r="I13" s="20">
        <f>J13*9.81*(LN(B13/(G13)))</f>
        <v>2615.7037638902843</v>
      </c>
      <c r="J13" s="1">
        <v>450</v>
      </c>
      <c r="K13" s="4">
        <v>535</v>
      </c>
      <c r="L13" s="1">
        <v>3006</v>
      </c>
      <c r="M13" s="1">
        <v>909</v>
      </c>
      <c r="N13" s="1">
        <v>731</v>
      </c>
      <c r="O13" s="1">
        <f>832+0</f>
        <v>832</v>
      </c>
      <c r="P13" s="1">
        <f>527+640+119+140</f>
        <v>1426</v>
      </c>
      <c r="Q13" s="1">
        <f>1336</f>
        <v>1336</v>
      </c>
      <c r="R13" s="1">
        <f>SUM(K13:Q13)-C13</f>
        <v>0</v>
      </c>
      <c r="S13" s="1">
        <v>3</v>
      </c>
      <c r="T13" s="1">
        <f>S13*8.3</f>
        <v>24.900000000000002</v>
      </c>
      <c r="U13" s="1">
        <v>7.5</v>
      </c>
      <c r="Z13">
        <v>231.5167380558045</v>
      </c>
    </row>
    <row r="14" spans="1:26" s="24" customFormat="1" x14ac:dyDescent="0.3">
      <c r="A14" s="25" t="s">
        <v>28</v>
      </c>
      <c r="B14" s="15">
        <f>36272+18325</f>
        <v>54597</v>
      </c>
      <c r="C14" s="15">
        <v>6692</v>
      </c>
      <c r="D14" s="15">
        <v>18325</v>
      </c>
      <c r="E14" s="15">
        <v>29580</v>
      </c>
      <c r="F14" s="1">
        <f t="shared" si="1"/>
        <v>0</v>
      </c>
      <c r="G14" s="11">
        <f>B14-E14</f>
        <v>25017</v>
      </c>
      <c r="H14" s="22">
        <f>J14*9.81*(LN(B14/(G14)))</f>
        <v>2771.4549820453913</v>
      </c>
      <c r="I14" s="14">
        <f>J14*9.81*(LN(B14/(G14)))</f>
        <v>2771.4549820453913</v>
      </c>
      <c r="J14" s="9">
        <v>362</v>
      </c>
      <c r="K14" s="23">
        <v>3757</v>
      </c>
      <c r="L14" s="15">
        <v>1219</v>
      </c>
      <c r="M14" s="15">
        <v>400</v>
      </c>
      <c r="N14" s="15">
        <v>200</v>
      </c>
      <c r="O14" s="9">
        <v>0</v>
      </c>
      <c r="P14" s="15">
        <f>431+685</f>
        <v>1116</v>
      </c>
      <c r="Q14" s="15">
        <v>0</v>
      </c>
      <c r="R14" s="15">
        <f>SUM(K14:Q14)-C14</f>
        <v>0</v>
      </c>
      <c r="S14" s="11"/>
      <c r="T14" s="15"/>
      <c r="V14" s="29"/>
      <c r="Z14" s="24">
        <v>233.66000941538968</v>
      </c>
    </row>
    <row r="15" spans="1:26" x14ac:dyDescent="0.3">
      <c r="A15" s="18" t="s">
        <v>30</v>
      </c>
      <c r="B15" s="1">
        <v>27021</v>
      </c>
      <c r="C15" s="1">
        <f>5663+563</f>
        <v>6226</v>
      </c>
      <c r="D15" s="26">
        <v>782</v>
      </c>
      <c r="E15" s="1">
        <v>20013</v>
      </c>
      <c r="F15" s="1">
        <f t="shared" si="1"/>
        <v>0</v>
      </c>
      <c r="G15" s="6">
        <f>B15-E15</f>
        <v>7008</v>
      </c>
      <c r="H15" s="10">
        <f>J15*9.81*(LN(B15/(G15)))</f>
        <v>4792.5915224416285</v>
      </c>
      <c r="I15" s="19">
        <f>J15*9.81*(LN(B15/(G15)))</f>
        <v>4792.5915224416285</v>
      </c>
      <c r="J15" s="1">
        <v>362</v>
      </c>
      <c r="K15" s="4">
        <v>2441</v>
      </c>
      <c r="L15" s="1">
        <v>983</v>
      </c>
      <c r="M15" s="1">
        <v>741</v>
      </c>
      <c r="N15" s="1">
        <v>65</v>
      </c>
      <c r="O15" s="1">
        <f>57+564</f>
        <v>621</v>
      </c>
      <c r="P15" s="1">
        <f>109+563</f>
        <v>672</v>
      </c>
      <c r="Q15" s="1">
        <v>703</v>
      </c>
      <c r="R15" s="1">
        <f>SUM(K15:Q15)-C15</f>
        <v>0</v>
      </c>
      <c r="S15" s="6"/>
      <c r="T15" s="1"/>
      <c r="U15" s="1"/>
      <c r="V15" s="28" t="s">
        <v>35</v>
      </c>
      <c r="Z15">
        <v>164.38065579623412</v>
      </c>
    </row>
    <row r="16" spans="1:26" x14ac:dyDescent="0.3">
      <c r="A16" s="18" t="s">
        <v>31</v>
      </c>
      <c r="B16" s="1">
        <f>35054+10808</f>
        <v>45862</v>
      </c>
      <c r="C16" s="1">
        <f>6136+1033+486</f>
        <v>7655</v>
      </c>
      <c r="D16" s="1">
        <f>10808+2294</f>
        <v>13102</v>
      </c>
      <c r="E16" s="1">
        <v>25105</v>
      </c>
      <c r="F16" s="1">
        <f t="shared" si="1"/>
        <v>0</v>
      </c>
      <c r="G16" s="6">
        <f>B16-E16</f>
        <v>20757</v>
      </c>
      <c r="H16" s="10">
        <f>J16*9.81*(LN(B16/(G16)))</f>
        <v>3499.6096559997736</v>
      </c>
      <c r="I16" s="19">
        <f>J16*9.81*(LN(B16/(G16)))</f>
        <v>3499.6096559997736</v>
      </c>
      <c r="J16" s="1">
        <v>450</v>
      </c>
      <c r="K16" s="4">
        <v>1113</v>
      </c>
      <c r="L16" s="1">
        <v>2362</v>
      </c>
      <c r="M16" s="1">
        <v>468</v>
      </c>
      <c r="N16" s="1">
        <v>69</v>
      </c>
      <c r="O16" s="1">
        <f>281+88</f>
        <v>369</v>
      </c>
      <c r="P16" s="1">
        <f>640+92+486+1033</f>
        <v>2251</v>
      </c>
      <c r="Q16" s="1">
        <v>1023</v>
      </c>
      <c r="R16" s="1">
        <f>SUM(K16:Q16)-C16</f>
        <v>0</v>
      </c>
      <c r="S16" s="6"/>
      <c r="T16" s="1"/>
      <c r="U16" s="1"/>
      <c r="V16" s="28" t="s">
        <v>34</v>
      </c>
      <c r="Z16">
        <v>214.15415008820165</v>
      </c>
    </row>
    <row r="17" spans="1:26" x14ac:dyDescent="0.3">
      <c r="A17" s="18" t="s">
        <v>32</v>
      </c>
      <c r="B17" s="1">
        <f>10790+39791+31330</f>
        <v>81911</v>
      </c>
      <c r="C17" s="1">
        <f>9226+500+148</f>
        <v>9874</v>
      </c>
      <c r="D17" s="1">
        <f>31330+10790+148</f>
        <v>42268</v>
      </c>
      <c r="E17" s="1">
        <v>29769</v>
      </c>
      <c r="F17" s="1">
        <f t="shared" si="1"/>
        <v>0</v>
      </c>
      <c r="G17" s="6">
        <f>B17-E17</f>
        <v>52142</v>
      </c>
      <c r="H17" s="10">
        <f>J17*9.81*(LN(B17/(G17)))</f>
        <v>1993.8642207560945</v>
      </c>
      <c r="I17" s="19">
        <f>J17*9.81*(LN(B17/(G17)))</f>
        <v>1993.8642207560945</v>
      </c>
      <c r="J17" s="1">
        <v>450</v>
      </c>
      <c r="K17" s="4">
        <v>2432</v>
      </c>
      <c r="L17" s="1">
        <v>1826</v>
      </c>
      <c r="M17" s="1">
        <v>336</v>
      </c>
      <c r="N17" s="1">
        <v>145</v>
      </c>
      <c r="O17" s="1">
        <f>1008+160</f>
        <v>1168</v>
      </c>
      <c r="P17" s="1">
        <f>1781+500+148</f>
        <v>2429</v>
      </c>
      <c r="Q17" s="1">
        <v>1538</v>
      </c>
      <c r="R17" s="1">
        <f>SUM(K17:Q17)-C17</f>
        <v>0</v>
      </c>
      <c r="S17" s="6"/>
      <c r="T17" s="1"/>
      <c r="U17" s="1"/>
      <c r="Z17">
        <v>286.20097833515524</v>
      </c>
    </row>
    <row r="18" spans="1:26" x14ac:dyDescent="0.3">
      <c r="A18" s="18" t="s">
        <v>36</v>
      </c>
      <c r="B18" s="1">
        <v>37494</v>
      </c>
      <c r="C18" s="1">
        <f>9050+1764+694</f>
        <v>11508</v>
      </c>
      <c r="D18" s="26">
        <v>500</v>
      </c>
      <c r="E18" s="1">
        <v>25486</v>
      </c>
      <c r="F18" s="1">
        <f t="shared" si="1"/>
        <v>0</v>
      </c>
      <c r="G18" s="6">
        <f>B18-E18</f>
        <v>12008</v>
      </c>
      <c r="H18" s="10">
        <f>J18*9.81*(LN(B18/(G18)))</f>
        <v>4043.4468832931575</v>
      </c>
      <c r="I18" s="19">
        <f>J18*9.81*(LN(B18/(G18)))</f>
        <v>4043.4468832931575</v>
      </c>
      <c r="J18" s="1">
        <v>362</v>
      </c>
      <c r="K18" s="4">
        <v>2015</v>
      </c>
      <c r="L18" s="1">
        <v>2425</v>
      </c>
      <c r="M18" s="1">
        <v>553</v>
      </c>
      <c r="N18" s="1">
        <v>594</v>
      </c>
      <c r="O18" s="1">
        <f>777+295</f>
        <v>1072</v>
      </c>
      <c r="P18" s="1">
        <f>883+1764+694</f>
        <v>3341</v>
      </c>
      <c r="Q18" s="1">
        <v>1508</v>
      </c>
      <c r="R18" s="1">
        <f>SUM(K18:Q18)-C18</f>
        <v>0</v>
      </c>
      <c r="S18" s="6"/>
      <c r="T18" s="1"/>
      <c r="U18" s="1"/>
      <c r="V18" s="28" t="s">
        <v>35</v>
      </c>
      <c r="Z18">
        <v>193.63367475725909</v>
      </c>
    </row>
    <row r="19" spans="1:26" x14ac:dyDescent="0.3">
      <c r="A19" s="18" t="s">
        <v>37</v>
      </c>
      <c r="B19" s="1">
        <v>35667</v>
      </c>
      <c r="C19" s="1">
        <f>8895+1741+698</f>
        <v>11334</v>
      </c>
      <c r="D19" s="26">
        <v>500</v>
      </c>
      <c r="E19" s="1">
        <v>23833</v>
      </c>
      <c r="F19" s="1">
        <f t="shared" si="1"/>
        <v>0</v>
      </c>
      <c r="G19" s="6">
        <f>B19-E19</f>
        <v>11834</v>
      </c>
      <c r="H19" s="10">
        <f>J19*9.81*(LN(B19/(G19)))</f>
        <v>3798.8288213551818</v>
      </c>
      <c r="I19" s="19">
        <f>J19*9.81*(LN(B19/(G19)))</f>
        <v>3798.8288213551818</v>
      </c>
      <c r="J19" s="1">
        <v>351</v>
      </c>
      <c r="K19" s="4">
        <v>1985</v>
      </c>
      <c r="L19" s="1">
        <v>2347</v>
      </c>
      <c r="M19" s="1">
        <v>553</v>
      </c>
      <c r="N19" s="1">
        <v>594</v>
      </c>
      <c r="O19" s="1">
        <f>777+289</f>
        <v>1066</v>
      </c>
      <c r="P19" s="1">
        <f>867+1741+698</f>
        <v>3306</v>
      </c>
      <c r="Q19" s="1">
        <v>1483</v>
      </c>
      <c r="R19" s="1">
        <f>SUM(K19:Q19)-C19</f>
        <v>0</v>
      </c>
      <c r="S19" s="6"/>
      <c r="T19" s="1"/>
      <c r="U19" s="1"/>
      <c r="V19" s="28" t="s">
        <v>35</v>
      </c>
      <c r="Z19">
        <v>188.8570888264457</v>
      </c>
    </row>
    <row r="20" spans="1:26" x14ac:dyDescent="0.3">
      <c r="A20" s="18" t="s">
        <v>38</v>
      </c>
      <c r="B20" s="1">
        <v>28819</v>
      </c>
      <c r="C20" s="1">
        <f>7164+1286+717</f>
        <v>9167</v>
      </c>
      <c r="D20" s="26">
        <v>500</v>
      </c>
      <c r="E20" s="1">
        <v>19152</v>
      </c>
      <c r="F20" s="1">
        <f t="shared" si="1"/>
        <v>0</v>
      </c>
      <c r="G20" s="6">
        <f>B20-E20</f>
        <v>9667</v>
      </c>
      <c r="H20" s="10">
        <f>J20*9.81*(LN(B20/(G20)))</f>
        <v>3761.1855959947816</v>
      </c>
      <c r="I20" s="19">
        <f>J20*9.81*(LN(B20/(G20)))</f>
        <v>3761.1855959947816</v>
      </c>
      <c r="J20" s="1">
        <v>351</v>
      </c>
      <c r="K20" s="4">
        <v>1877</v>
      </c>
      <c r="L20" s="1">
        <v>1125</v>
      </c>
      <c r="M20" s="1">
        <v>553</v>
      </c>
      <c r="N20" s="1">
        <v>594</v>
      </c>
      <c r="O20" s="1">
        <f>777+272</f>
        <v>1049</v>
      </c>
      <c r="P20" s="1">
        <f>772+1286+717</f>
        <v>2775</v>
      </c>
      <c r="Q20" s="1">
        <v>1194</v>
      </c>
      <c r="R20" s="1">
        <f>SUM(K20:Q20)-C20</f>
        <v>0</v>
      </c>
      <c r="S20" s="1"/>
      <c r="T20" s="1"/>
      <c r="U20" s="1"/>
      <c r="V20" s="28" t="s">
        <v>35</v>
      </c>
      <c r="Z20">
        <v>169.7615975419647</v>
      </c>
    </row>
    <row r="21" spans="1:26" x14ac:dyDescent="0.3">
      <c r="A21" s="18" t="s">
        <v>39</v>
      </c>
      <c r="B21" s="1">
        <f>34504+7755</f>
        <v>42259</v>
      </c>
      <c r="C21" s="1">
        <f>4722+95+655</f>
        <v>5472</v>
      </c>
      <c r="D21" s="1">
        <f>7755+1590</f>
        <v>9345</v>
      </c>
      <c r="E21" s="1">
        <v>27442</v>
      </c>
      <c r="F21" s="1">
        <f t="shared" si="1"/>
        <v>0</v>
      </c>
      <c r="G21" s="6">
        <f>B21-E21</f>
        <v>14817</v>
      </c>
      <c r="H21" s="10">
        <f>J21*9.81*(LN(B21/(G21)))</f>
        <v>3320.8578885135848</v>
      </c>
      <c r="I21" s="19">
        <f>J21*9.81*(LN(B21/(G21)))</f>
        <v>3320.8578885135848</v>
      </c>
      <c r="J21" s="1">
        <v>323</v>
      </c>
      <c r="K21" s="4">
        <v>1011</v>
      </c>
      <c r="L21" s="1">
        <v>1616</v>
      </c>
      <c r="M21" s="1">
        <v>306</v>
      </c>
      <c r="N21" s="1">
        <v>69</v>
      </c>
      <c r="O21" s="1">
        <f>124+162</f>
        <v>286</v>
      </c>
      <c r="P21" s="1">
        <f>555+655+95+92</f>
        <v>1397</v>
      </c>
      <c r="Q21" s="1">
        <f>787</f>
        <v>787</v>
      </c>
      <c r="R21" s="1">
        <f>SUM(K21:Q21)-C21</f>
        <v>0</v>
      </c>
      <c r="S21" s="1"/>
      <c r="T21" s="1"/>
      <c r="U21" s="1"/>
      <c r="V21" s="28" t="s">
        <v>34</v>
      </c>
      <c r="Z21">
        <v>205.56993943667931</v>
      </c>
    </row>
    <row r="22" spans="1:26" x14ac:dyDescent="0.3">
      <c r="A22" s="18" t="s">
        <v>40</v>
      </c>
      <c r="B22" s="1">
        <f>34018+7812</f>
        <v>41830</v>
      </c>
      <c r="C22" s="1">
        <f>5621+1968+95</f>
        <v>7684</v>
      </c>
      <c r="D22" s="1">
        <f>7812+1590</f>
        <v>9402</v>
      </c>
      <c r="E22" s="1">
        <v>24744</v>
      </c>
      <c r="F22" s="1">
        <f t="shared" si="1"/>
        <v>0</v>
      </c>
      <c r="G22" s="6">
        <f>B22-E22</f>
        <v>17086</v>
      </c>
      <c r="H22" s="10">
        <f>J22*9.81*(LN(B22/(G22)))</f>
        <v>3188.3837747817079</v>
      </c>
      <c r="I22" s="19">
        <f>J22*9.81*(LN(B22/(G22)))</f>
        <v>3188.3837747817079</v>
      </c>
      <c r="J22" s="6">
        <v>363</v>
      </c>
      <c r="K22" s="4">
        <v>1355</v>
      </c>
      <c r="L22" s="1">
        <v>2013</v>
      </c>
      <c r="M22" s="1">
        <v>306</v>
      </c>
      <c r="N22" s="1">
        <v>69</v>
      </c>
      <c r="O22" s="1">
        <f>124+141</f>
        <v>265</v>
      </c>
      <c r="P22" s="1">
        <f>584+1968+95+92</f>
        <v>2739</v>
      </c>
      <c r="Q22" s="1">
        <f>937</f>
        <v>937</v>
      </c>
      <c r="R22" s="1">
        <f>SUM(K22:Q22)-C22</f>
        <v>0</v>
      </c>
      <c r="S22" s="1"/>
      <c r="T22" s="1"/>
      <c r="U22" s="1"/>
      <c r="V22" s="28" t="s">
        <v>45</v>
      </c>
      <c r="Z22">
        <v>204.52383724153034</v>
      </c>
    </row>
    <row r="23" spans="1:26" x14ac:dyDescent="0.3">
      <c r="A23" s="18" t="s">
        <v>41</v>
      </c>
      <c r="B23" s="1">
        <f>15154+7737</f>
        <v>22891</v>
      </c>
      <c r="C23" s="1">
        <f>2761+250+95</f>
        <v>3106</v>
      </c>
      <c r="D23" s="1">
        <f>7737+1590</f>
        <v>9327</v>
      </c>
      <c r="E23" s="1">
        <f>10458</f>
        <v>10458</v>
      </c>
      <c r="F23" s="1">
        <f t="shared" si="1"/>
        <v>0</v>
      </c>
      <c r="G23" s="6">
        <f>B23-E23</f>
        <v>12433</v>
      </c>
      <c r="H23" s="10">
        <f>J23*9.81*(LN(B23/(G23)))</f>
        <v>1934.0987736564762</v>
      </c>
      <c r="I23" s="19">
        <f>J23*9.81*(LN(B23/(G23)))</f>
        <v>1934.0987736564762</v>
      </c>
      <c r="J23" s="1">
        <v>323</v>
      </c>
      <c r="K23" s="4">
        <v>451</v>
      </c>
      <c r="L23" s="1">
        <v>677</v>
      </c>
      <c r="M23" s="1">
        <v>306</v>
      </c>
      <c r="N23" s="1">
        <v>69</v>
      </c>
      <c r="O23" s="1">
        <f>124+86</f>
        <v>210</v>
      </c>
      <c r="P23" s="1">
        <f>496+250+95+92</f>
        <v>933</v>
      </c>
      <c r="Q23" s="1">
        <v>460</v>
      </c>
      <c r="R23" s="1">
        <f>SUM(K23:Q23)-C23</f>
        <v>0</v>
      </c>
      <c r="S23" s="1"/>
      <c r="T23" s="1"/>
      <c r="U23" s="1"/>
      <c r="Z23">
        <v>151.29771974487917</v>
      </c>
    </row>
    <row r="24" spans="1:26" x14ac:dyDescent="0.3">
      <c r="A24" s="18" t="s">
        <v>42</v>
      </c>
      <c r="B24" s="1">
        <f>15472+7667</f>
        <v>23139</v>
      </c>
      <c r="C24" s="1">
        <f>3442+995+95</f>
        <v>4532</v>
      </c>
      <c r="D24" s="1">
        <f>7667+1590</f>
        <v>9257</v>
      </c>
      <c r="E24" s="1">
        <v>9350</v>
      </c>
      <c r="F24" s="1">
        <f t="shared" si="1"/>
        <v>0</v>
      </c>
      <c r="G24" s="6">
        <f>B24-E24</f>
        <v>13789</v>
      </c>
      <c r="H24" s="10">
        <f>J24*9.81*(LN(B24/(G24)))</f>
        <v>1843.3612424096523</v>
      </c>
      <c r="I24" s="19">
        <f>J24*9.81*(LN(B24/(G24)))</f>
        <v>1843.3612424096523</v>
      </c>
      <c r="J24" s="6">
        <v>363</v>
      </c>
      <c r="K24" s="4">
        <v>717</v>
      </c>
      <c r="L24" s="1">
        <v>955</v>
      </c>
      <c r="M24" s="1">
        <v>306</v>
      </c>
      <c r="N24" s="1">
        <v>69</v>
      </c>
      <c r="O24" s="1">
        <f>124+95</f>
        <v>219</v>
      </c>
      <c r="P24" s="1">
        <f>510+995+95+92</f>
        <v>1692</v>
      </c>
      <c r="Q24" s="1">
        <v>574</v>
      </c>
      <c r="R24" s="1">
        <f>SUM(K24:Q24)-C24</f>
        <v>0</v>
      </c>
      <c r="S24" s="1"/>
      <c r="T24" s="1"/>
      <c r="U24" s="1"/>
      <c r="Z24">
        <v>152.11508800904662</v>
      </c>
    </row>
    <row r="25" spans="1:26" x14ac:dyDescent="0.3">
      <c r="A25" s="18" t="s">
        <v>43</v>
      </c>
      <c r="B25" s="1">
        <f>13564+9600</f>
        <v>23164</v>
      </c>
      <c r="C25" s="1">
        <f>2761+250+95</f>
        <v>3106</v>
      </c>
      <c r="D25" s="1">
        <v>9600</v>
      </c>
      <c r="E25" s="1">
        <v>10458</v>
      </c>
      <c r="F25" s="1">
        <f t="shared" si="1"/>
        <v>0</v>
      </c>
      <c r="G25" s="6">
        <f>B25-E25</f>
        <v>12706</v>
      </c>
      <c r="H25" s="10">
        <f>J25*9.81*(LN(B25/(G25)))</f>
        <v>1902.8416147795385</v>
      </c>
      <c r="I25" s="19">
        <f>J25*9.81*(LN(B25/(G25)))</f>
        <v>1902.8416147795385</v>
      </c>
      <c r="J25" s="1">
        <v>323</v>
      </c>
      <c r="K25" s="4">
        <v>451</v>
      </c>
      <c r="L25" s="1">
        <v>677</v>
      </c>
      <c r="M25" s="1">
        <v>306</v>
      </c>
      <c r="N25" s="1">
        <v>69</v>
      </c>
      <c r="O25" s="1">
        <f>124+86</f>
        <v>210</v>
      </c>
      <c r="P25" s="1">
        <f>496+250+95+92</f>
        <v>933</v>
      </c>
      <c r="Q25" s="1">
        <v>460</v>
      </c>
      <c r="R25" s="1">
        <f>SUM(K25:Q25)-C25</f>
        <v>0</v>
      </c>
      <c r="S25" s="1"/>
      <c r="T25" s="1"/>
      <c r="U25" s="1"/>
      <c r="Z25">
        <v>152.19724044804491</v>
      </c>
    </row>
    <row r="26" spans="1:26" x14ac:dyDescent="0.3">
      <c r="A26" s="18" t="s">
        <v>44</v>
      </c>
      <c r="B26" s="1">
        <f>13882+9313</f>
        <v>23195</v>
      </c>
      <c r="C26" s="1">
        <f>3442+995+95</f>
        <v>4532</v>
      </c>
      <c r="D26" s="1">
        <v>9313</v>
      </c>
      <c r="E26" s="1">
        <v>9350</v>
      </c>
      <c r="F26" s="1">
        <f t="shared" si="1"/>
        <v>0</v>
      </c>
      <c r="G26" s="6">
        <f>B26-E26</f>
        <v>13845</v>
      </c>
      <c r="H26" s="10">
        <f>J26*9.81*(LN(B26/(G26)))</f>
        <v>1837.5362833866116</v>
      </c>
      <c r="I26" s="19">
        <f>J26*9.81*(LN(B26/(G26)))</f>
        <v>1837.5362833866116</v>
      </c>
      <c r="J26" s="6">
        <v>363</v>
      </c>
      <c r="K26" s="4">
        <v>717</v>
      </c>
      <c r="L26" s="1">
        <v>955</v>
      </c>
      <c r="M26" s="1">
        <v>306</v>
      </c>
      <c r="N26" s="1">
        <v>69</v>
      </c>
      <c r="O26" s="1">
        <f>124+95</f>
        <v>219</v>
      </c>
      <c r="P26" s="1">
        <f>510+995+95+92</f>
        <v>1692</v>
      </c>
      <c r="Q26" s="1">
        <v>574</v>
      </c>
      <c r="R26" s="1">
        <f>SUM(K26:Q26)-C26</f>
        <v>0</v>
      </c>
      <c r="S26" s="1"/>
      <c r="T26" s="1"/>
      <c r="U26" s="1"/>
      <c r="Z26">
        <v>152.29904792873788</v>
      </c>
    </row>
    <row r="27" spans="1:26" x14ac:dyDescent="0.3">
      <c r="A27" s="18" t="s">
        <v>46</v>
      </c>
      <c r="B27" s="1">
        <f>13564+9600</f>
        <v>23164</v>
      </c>
      <c r="C27" s="1">
        <f>2761+250+95</f>
        <v>3106</v>
      </c>
      <c r="D27" s="1">
        <f>9600</f>
        <v>9600</v>
      </c>
      <c r="E27" s="1">
        <v>10458</v>
      </c>
      <c r="F27" s="1">
        <f t="shared" si="1"/>
        <v>0</v>
      </c>
      <c r="G27" s="6">
        <f>B27-E27</f>
        <v>12706</v>
      </c>
      <c r="H27" s="10">
        <f>J27*9.81*(LN(B27/(G27)))</f>
        <v>1902.8416147795385</v>
      </c>
      <c r="I27" s="19">
        <f>J27*9.81*(LN(B27/(G27)))</f>
        <v>1902.8416147795385</v>
      </c>
      <c r="J27" s="1">
        <v>323</v>
      </c>
      <c r="K27" s="4">
        <v>451</v>
      </c>
      <c r="L27" s="1">
        <v>677</v>
      </c>
      <c r="M27" s="1">
        <v>306</v>
      </c>
      <c r="N27" s="1">
        <v>69</v>
      </c>
      <c r="O27" s="1">
        <f>124+86</f>
        <v>210</v>
      </c>
      <c r="P27" s="1">
        <f>496+250+95+92</f>
        <v>933</v>
      </c>
      <c r="Q27" s="1">
        <v>460</v>
      </c>
      <c r="R27" s="1">
        <f>SUM(K27:Q27)-C27</f>
        <v>0</v>
      </c>
      <c r="S27" s="1"/>
      <c r="T27" s="1"/>
      <c r="U27" s="1"/>
      <c r="Z27">
        <v>152.19724044804491</v>
      </c>
    </row>
    <row r="28" spans="1:26" x14ac:dyDescent="0.3">
      <c r="A28" s="18" t="s">
        <v>47</v>
      </c>
      <c r="B28" s="1">
        <f>33067+14451</f>
        <v>47518</v>
      </c>
      <c r="C28" s="1">
        <f>4739+658+95</f>
        <v>5492</v>
      </c>
      <c r="D28" s="1">
        <v>14451</v>
      </c>
      <c r="E28" s="1">
        <v>27575</v>
      </c>
      <c r="F28" s="1">
        <f t="shared" si="1"/>
        <v>0</v>
      </c>
      <c r="G28" s="6">
        <f>B28-E28</f>
        <v>19943</v>
      </c>
      <c r="H28" s="10">
        <f>J28*9.81*(LN(B28/(G28)))</f>
        <v>3091.7944374111398</v>
      </c>
      <c r="I28" s="19">
        <f>J28*9.81*(LN(B28/(G28)))</f>
        <v>3091.7944374111398</v>
      </c>
      <c r="J28" s="6">
        <v>363</v>
      </c>
      <c r="K28" s="4">
        <v>1017</v>
      </c>
      <c r="L28" s="1">
        <v>1624</v>
      </c>
      <c r="M28" s="1">
        <v>306</v>
      </c>
      <c r="N28" s="1">
        <v>69</v>
      </c>
      <c r="O28" s="1">
        <f>124+162</f>
        <v>286</v>
      </c>
      <c r="P28" s="1">
        <f>555+658+95+92</f>
        <v>1400</v>
      </c>
      <c r="Q28" s="1">
        <v>790</v>
      </c>
      <c r="R28" s="1">
        <f>SUM(K28:Q28)-C28</f>
        <v>0</v>
      </c>
      <c r="S28" s="1"/>
      <c r="V28" s="28" t="s">
        <v>48</v>
      </c>
      <c r="Z28">
        <v>217.98623809772945</v>
      </c>
    </row>
    <row r="29" spans="1:26" x14ac:dyDescent="0.3">
      <c r="A29" s="18" t="s">
        <v>69</v>
      </c>
      <c r="B29" s="1">
        <f>33067+14234</f>
        <v>47301</v>
      </c>
      <c r="C29" s="1">
        <f>4739+658+95</f>
        <v>5492</v>
      </c>
      <c r="D29" s="1">
        <f>14234</f>
        <v>14234</v>
      </c>
      <c r="E29" s="1">
        <v>27575</v>
      </c>
      <c r="F29" s="1">
        <f t="shared" si="1"/>
        <v>0</v>
      </c>
      <c r="G29" s="6">
        <f>B29-E29</f>
        <v>19726</v>
      </c>
      <c r="H29" s="10">
        <f>J29*9.81*(LN(B29/(G29)))</f>
        <v>2771.2643882136222</v>
      </c>
      <c r="I29" s="19">
        <f>J29*9.81*(LN(B29/(G29)))</f>
        <v>2771.2643882136222</v>
      </c>
      <c r="J29" s="6">
        <v>323</v>
      </c>
      <c r="K29" s="4">
        <v>1017</v>
      </c>
      <c r="L29" s="1">
        <v>1624</v>
      </c>
      <c r="M29" s="1">
        <v>306</v>
      </c>
      <c r="N29" s="1">
        <v>69</v>
      </c>
      <c r="O29" s="1">
        <f>124+162</f>
        <v>286</v>
      </c>
      <c r="P29" s="1">
        <f>555+658+95+92</f>
        <v>1400</v>
      </c>
      <c r="Q29" s="1">
        <f>790</f>
        <v>790</v>
      </c>
      <c r="R29" s="1">
        <f>SUM(K29:Q29)-C29</f>
        <v>0</v>
      </c>
      <c r="S29" s="1"/>
      <c r="V29" s="28" t="s">
        <v>48</v>
      </c>
      <c r="Z29">
        <v>217.48793069961377</v>
      </c>
    </row>
    <row r="30" spans="1:26" x14ac:dyDescent="0.3">
      <c r="A30" s="18" t="s">
        <v>49</v>
      </c>
      <c r="B30" s="1">
        <f>14030+5550</f>
        <v>19580</v>
      </c>
      <c r="C30" s="1">
        <f>4690+990+950</f>
        <v>6630</v>
      </c>
      <c r="D30" s="1">
        <f>5550+500</f>
        <v>6050</v>
      </c>
      <c r="E30" s="1">
        <f>6900</f>
        <v>6900</v>
      </c>
      <c r="F30" s="1">
        <f t="shared" si="1"/>
        <v>0</v>
      </c>
      <c r="G30" s="6">
        <f>B30-E30</f>
        <v>12680</v>
      </c>
      <c r="H30" s="10">
        <f>J30*9.81*(LN(B30/(G30)))</f>
        <v>1960.6465782897556</v>
      </c>
      <c r="I30" s="19">
        <f>J30*9.81*(LN(B30/(G30)))</f>
        <v>1960.6465782897556</v>
      </c>
      <c r="J30" s="1">
        <v>460</v>
      </c>
      <c r="K30" s="4">
        <v>1150</v>
      </c>
      <c r="L30" s="1">
        <v>750</v>
      </c>
      <c r="M30" s="1">
        <v>630</v>
      </c>
      <c r="N30" s="1">
        <v>80</v>
      </c>
      <c r="O30" s="1">
        <f>740+60</f>
        <v>800</v>
      </c>
      <c r="P30" s="1">
        <f>440+990+950</f>
        <v>2380</v>
      </c>
      <c r="Q30" s="1">
        <f>840</f>
        <v>840</v>
      </c>
      <c r="R30" s="1">
        <f>SUM(K30:Q30)-C30</f>
        <v>0</v>
      </c>
      <c r="S30" s="1"/>
      <c r="Z30">
        <v>139.92855319769444</v>
      </c>
    </row>
    <row r="31" spans="1:26" x14ac:dyDescent="0.3">
      <c r="A31" s="18" t="s">
        <v>50</v>
      </c>
      <c r="B31" s="1">
        <v>37848</v>
      </c>
      <c r="C31" s="1">
        <f>9369+1885+602</f>
        <v>11856</v>
      </c>
      <c r="D31" s="26">
        <v>500</v>
      </c>
      <c r="E31" s="1">
        <v>25492</v>
      </c>
      <c r="F31" s="1">
        <f t="shared" si="1"/>
        <v>0</v>
      </c>
      <c r="G31" s="6">
        <f>B31-E31</f>
        <v>12356</v>
      </c>
      <c r="H31" s="10">
        <f t="shared" ref="H31:H39" si="2">J31*9.81*(LN(B31/(G31)))</f>
        <v>3843.5847532961689</v>
      </c>
      <c r="I31" s="19">
        <f>J31*9.81*(LN(B31/(G31)))</f>
        <v>3843.5847532961689</v>
      </c>
      <c r="J31" s="1">
        <v>350</v>
      </c>
      <c r="K31" s="4">
        <v>2464</v>
      </c>
      <c r="L31" s="1">
        <v>2422</v>
      </c>
      <c r="M31" s="1">
        <v>553</v>
      </c>
      <c r="N31" s="1">
        <v>594</v>
      </c>
      <c r="O31" s="1">
        <f>777+106</f>
        <v>883</v>
      </c>
      <c r="P31" s="1">
        <f>892+1885+602</f>
        <v>3379</v>
      </c>
      <c r="Q31" s="1">
        <v>1561</v>
      </c>
      <c r="R31" s="1">
        <f>SUM(K31:Q31)-C31</f>
        <v>0</v>
      </c>
      <c r="S31" s="1"/>
      <c r="V31" s="28" t="s">
        <v>35</v>
      </c>
      <c r="Z31">
        <v>194.54562446891475</v>
      </c>
    </row>
    <row r="32" spans="1:26" x14ac:dyDescent="0.3">
      <c r="A32" s="18" t="s">
        <v>51</v>
      </c>
      <c r="B32" s="1">
        <f>39807+5193</f>
        <v>45000</v>
      </c>
      <c r="C32" s="1">
        <f>8260+1701+486</f>
        <v>10447</v>
      </c>
      <c r="D32" s="1">
        <f>5193+4654</f>
        <v>9847</v>
      </c>
      <c r="E32" s="1">
        <f>24706</f>
        <v>24706</v>
      </c>
      <c r="F32" s="1">
        <f t="shared" si="1"/>
        <v>0</v>
      </c>
      <c r="G32" s="6">
        <f>B32-E32</f>
        <v>20294</v>
      </c>
      <c r="H32" s="10">
        <f t="shared" si="2"/>
        <v>3023.2703425059144</v>
      </c>
      <c r="I32" s="19">
        <f>J32*9.81*(LN(B32/(G32)))</f>
        <v>3023.2703425059144</v>
      </c>
      <c r="J32" s="16">
        <v>387</v>
      </c>
      <c r="K32" s="4">
        <v>1932</v>
      </c>
      <c r="L32" s="1">
        <v>2239</v>
      </c>
      <c r="M32" s="1">
        <v>468</v>
      </c>
      <c r="N32" s="1">
        <v>306</v>
      </c>
      <c r="O32" s="1">
        <f>1119+88</f>
        <v>1207</v>
      </c>
      <c r="P32" s="1">
        <f>640+1701+486+91</f>
        <v>2918</v>
      </c>
      <c r="Q32" s="1">
        <v>1377</v>
      </c>
      <c r="R32" s="1">
        <f>SUM(K32:Q32)-C32</f>
        <v>0</v>
      </c>
      <c r="S32" s="1"/>
      <c r="Z32">
        <v>212.13203435596427</v>
      </c>
    </row>
    <row r="33" spans="1:22" x14ac:dyDescent="0.3">
      <c r="A33" s="18" t="s">
        <v>52</v>
      </c>
      <c r="B33" s="1">
        <f>40007+4994</f>
        <v>45001</v>
      </c>
      <c r="C33" s="1">
        <f>8627+1502+486</f>
        <v>10615</v>
      </c>
      <c r="D33" s="1">
        <f>4994+4686</f>
        <v>9680</v>
      </c>
      <c r="E33" s="1">
        <v>24706</v>
      </c>
      <c r="F33" s="1">
        <f t="shared" si="1"/>
        <v>0</v>
      </c>
      <c r="G33" s="6">
        <f>B33-E33</f>
        <v>20295</v>
      </c>
      <c r="H33" s="10">
        <f t="shared" si="2"/>
        <v>3023.1676386581948</v>
      </c>
      <c r="I33" s="19">
        <f>J33*9.81*(LN(B33/(G33)))</f>
        <v>3023.1676386581948</v>
      </c>
      <c r="J33" s="16">
        <v>387</v>
      </c>
      <c r="K33" s="4">
        <v>2203</v>
      </c>
      <c r="L33" s="1">
        <v>2239</v>
      </c>
      <c r="M33" s="1">
        <v>468</v>
      </c>
      <c r="N33" s="1">
        <v>306</v>
      </c>
      <c r="O33" s="1">
        <f>1104+88</f>
        <v>1192</v>
      </c>
      <c r="P33" s="1">
        <f>690+1502+486+91</f>
        <v>2769</v>
      </c>
      <c r="Q33" s="1">
        <v>1438</v>
      </c>
      <c r="R33" s="1">
        <f>SUM(K33:Q33)-C33</f>
        <v>0</v>
      </c>
      <c r="S33" s="1"/>
    </row>
    <row r="34" spans="1:22" x14ac:dyDescent="0.3">
      <c r="A34" s="18" t="s">
        <v>53</v>
      </c>
      <c r="B34" s="1">
        <f>39779+5220</f>
        <v>44999</v>
      </c>
      <c r="C34" s="1">
        <f>8268+1583+486</f>
        <v>10337</v>
      </c>
      <c r="D34" s="1">
        <f>5220+4736</f>
        <v>9956</v>
      </c>
      <c r="E34" s="1">
        <v>24706</v>
      </c>
      <c r="F34" s="1">
        <f t="shared" si="1"/>
        <v>0</v>
      </c>
      <c r="G34" s="6">
        <f>B34-E34</f>
        <v>20293</v>
      </c>
      <c r="H34" s="10">
        <f t="shared" si="2"/>
        <v>3023.3730536970029</v>
      </c>
      <c r="I34" s="19">
        <f>J34*9.81*(LN(B34/(G34)))</f>
        <v>3023.3730536970029</v>
      </c>
      <c r="J34" s="17">
        <v>387</v>
      </c>
      <c r="K34" s="4">
        <v>2289</v>
      </c>
      <c r="L34" s="1">
        <v>2239</v>
      </c>
      <c r="M34" s="1">
        <v>468</v>
      </c>
      <c r="N34" s="1">
        <v>354</v>
      </c>
      <c r="O34" s="1">
        <f>1104+88</f>
        <v>1192</v>
      </c>
      <c r="P34" s="1">
        <f>257+1583+486+91</f>
        <v>2417</v>
      </c>
      <c r="Q34" s="1">
        <f>1378</f>
        <v>1378</v>
      </c>
      <c r="R34" s="1">
        <f>SUM(K34:Q34)-C34</f>
        <v>0</v>
      </c>
      <c r="S34" s="1"/>
      <c r="V34" s="28" t="s">
        <v>54</v>
      </c>
    </row>
    <row r="35" spans="1:22" x14ac:dyDescent="0.3">
      <c r="A35" s="18" t="s">
        <v>55</v>
      </c>
      <c r="B35" s="1">
        <f>53643</f>
        <v>53643</v>
      </c>
      <c r="C35" s="1">
        <f>6753+1033+486</f>
        <v>8272</v>
      </c>
      <c r="D35" s="1">
        <v>19000</v>
      </c>
      <c r="E35" s="1">
        <v>26371</v>
      </c>
      <c r="F35" s="1">
        <f t="shared" si="1"/>
        <v>0</v>
      </c>
      <c r="G35" s="6">
        <f>B35-E35</f>
        <v>27272</v>
      </c>
      <c r="H35" s="10">
        <f t="shared" si="2"/>
        <v>2986.3670934036945</v>
      </c>
      <c r="I35" s="19">
        <f>J35*9.81*(LN(B35/(G35)))</f>
        <v>2986.3670934036945</v>
      </c>
      <c r="J35" s="1">
        <v>450</v>
      </c>
      <c r="K35" s="4">
        <v>1113</v>
      </c>
      <c r="L35" s="1">
        <v>2362</v>
      </c>
      <c r="M35" s="1">
        <v>468</v>
      </c>
      <c r="N35" s="1">
        <v>69</v>
      </c>
      <c r="O35" s="1">
        <f>281+88</f>
        <v>369</v>
      </c>
      <c r="P35" s="1">
        <f>640+1033+486+92</f>
        <v>2251</v>
      </c>
      <c r="Q35" s="1">
        <v>1640</v>
      </c>
      <c r="R35" s="1">
        <f>SUM(K35:Q35)-C35</f>
        <v>0</v>
      </c>
      <c r="S35" s="1"/>
    </row>
    <row r="36" spans="1:22" x14ac:dyDescent="0.3">
      <c r="A36" s="18" t="s">
        <v>56</v>
      </c>
      <c r="B36" s="1">
        <f>45001+4971</f>
        <v>49972</v>
      </c>
      <c r="C36" s="1">
        <f>11660+3671</f>
        <v>15331</v>
      </c>
      <c r="D36" s="1">
        <f>4971+1627</f>
        <v>6598</v>
      </c>
      <c r="E36" s="1">
        <f>28043</f>
        <v>28043</v>
      </c>
      <c r="F36" s="1">
        <f t="shared" si="1"/>
        <v>0</v>
      </c>
      <c r="G36" s="6">
        <f>B36-E36</f>
        <v>21929</v>
      </c>
      <c r="H36" s="10">
        <f t="shared" si="2"/>
        <v>3636.0156688434217</v>
      </c>
      <c r="I36" s="19">
        <f>J36*9.81*(LN(B36/(G36)))</f>
        <v>3636.0156688434217</v>
      </c>
      <c r="J36" s="1">
        <v>450</v>
      </c>
      <c r="K36" s="4">
        <v>4545</v>
      </c>
      <c r="L36" s="1">
        <v>3111</v>
      </c>
      <c r="M36" s="1">
        <v>934</v>
      </c>
      <c r="N36" s="1">
        <v>441</v>
      </c>
      <c r="O36" s="1">
        <f>156+180</f>
        <v>336</v>
      </c>
      <c r="P36" s="1">
        <f>429+3671</f>
        <v>4100</v>
      </c>
      <c r="Q36" s="1">
        <v>1864</v>
      </c>
      <c r="R36" s="1">
        <f>SUM(K36:Q36)-C36</f>
        <v>0</v>
      </c>
      <c r="S36" s="1"/>
    </row>
    <row r="37" spans="1:22" x14ac:dyDescent="0.3">
      <c r="A37" s="18" t="s">
        <v>57</v>
      </c>
      <c r="B37" s="1">
        <f>45001+4971</f>
        <v>49972</v>
      </c>
      <c r="C37" s="1">
        <f>11448+3671</f>
        <v>15119</v>
      </c>
      <c r="D37" s="1">
        <f>4971+1839</f>
        <v>6810</v>
      </c>
      <c r="E37" s="1">
        <f>28043</f>
        <v>28043</v>
      </c>
      <c r="F37" s="1">
        <f t="shared" si="1"/>
        <v>0</v>
      </c>
      <c r="G37" s="6">
        <f>B37-E37</f>
        <v>21929</v>
      </c>
      <c r="H37" s="10">
        <f t="shared" si="2"/>
        <v>3636.0156688434217</v>
      </c>
      <c r="I37" s="19">
        <f>J37*9.81*(LN(B37/(G37)))</f>
        <v>3636.0156688434217</v>
      </c>
      <c r="J37" s="1">
        <v>450</v>
      </c>
      <c r="K37" s="4">
        <v>4430</v>
      </c>
      <c r="L37" s="1">
        <v>3182</v>
      </c>
      <c r="M37" s="1">
        <v>934</v>
      </c>
      <c r="N37" s="1">
        <v>441</v>
      </c>
      <c r="O37" s="1">
        <f>156+180</f>
        <v>336</v>
      </c>
      <c r="P37" s="1">
        <f>429+3671</f>
        <v>4100</v>
      </c>
      <c r="Q37" s="1">
        <v>1696</v>
      </c>
      <c r="R37" s="1">
        <f>SUM(K37:Q37)-C37</f>
        <v>0</v>
      </c>
      <c r="S37" s="1"/>
    </row>
    <row r="38" spans="1:22" x14ac:dyDescent="0.3">
      <c r="A38" s="18" t="s">
        <v>58</v>
      </c>
      <c r="B38" s="1">
        <f>45000+5005</f>
        <v>50005</v>
      </c>
      <c r="C38" s="1">
        <f>13575+2445</f>
        <v>16020</v>
      </c>
      <c r="D38" s="1">
        <f>937+5005</f>
        <v>5942</v>
      </c>
      <c r="E38" s="1">
        <f>28043</f>
        <v>28043</v>
      </c>
      <c r="F38" s="1">
        <f t="shared" si="1"/>
        <v>0</v>
      </c>
      <c r="G38" s="6">
        <f>B38-E38</f>
        <v>21962</v>
      </c>
      <c r="H38" s="10">
        <f t="shared" si="2"/>
        <v>3632.2917133551828</v>
      </c>
      <c r="I38" s="19">
        <f>J38*9.81*(LN(B38/(G38)))</f>
        <v>3632.2917133551828</v>
      </c>
      <c r="J38" s="1">
        <v>450</v>
      </c>
      <c r="K38" s="4">
        <f>6565</f>
        <v>6565</v>
      </c>
      <c r="L38" s="1">
        <v>2889</v>
      </c>
      <c r="M38" s="1">
        <v>934</v>
      </c>
      <c r="N38" s="1">
        <v>441</v>
      </c>
      <c r="O38" s="1">
        <f>156+180</f>
        <v>336</v>
      </c>
      <c r="P38" s="1">
        <f>446+2445</f>
        <v>2891</v>
      </c>
      <c r="Q38" s="1">
        <v>1964</v>
      </c>
      <c r="R38" s="1">
        <f>SUM(K38:Q38)-C38</f>
        <v>0</v>
      </c>
      <c r="S38" s="1"/>
    </row>
    <row r="39" spans="1:22" x14ac:dyDescent="0.3">
      <c r="A39" s="18" t="s">
        <v>59</v>
      </c>
      <c r="B39" s="1">
        <f>45000+4971</f>
        <v>49971</v>
      </c>
      <c r="C39" s="1">
        <f>8131+2889</f>
        <v>11020</v>
      </c>
      <c r="D39" s="1">
        <f>4971+5937</f>
        <v>10908</v>
      </c>
      <c r="E39" s="1">
        <f>28043</f>
        <v>28043</v>
      </c>
      <c r="F39" s="1">
        <f t="shared" si="1"/>
        <v>0</v>
      </c>
      <c r="G39" s="6">
        <f>B39-E39</f>
        <v>21928</v>
      </c>
      <c r="H39" s="10">
        <f t="shared" si="2"/>
        <v>3636.1286418487784</v>
      </c>
      <c r="I39" s="19">
        <f>J39*9.81*(LN(B39/(G39)))</f>
        <v>3636.1286418487784</v>
      </c>
      <c r="J39" s="1">
        <v>450</v>
      </c>
      <c r="K39" s="4">
        <v>1856</v>
      </c>
      <c r="L39" s="1">
        <v>2578</v>
      </c>
      <c r="M39" s="1">
        <v>934</v>
      </c>
      <c r="N39" s="1">
        <v>441</v>
      </c>
      <c r="O39" s="1">
        <f>156+180</f>
        <v>336</v>
      </c>
      <c r="P39" s="1">
        <f>706+2889</f>
        <v>3595</v>
      </c>
      <c r="Q39" s="1">
        <v>1280</v>
      </c>
      <c r="R39" s="1">
        <f>SUM(K39:Q39)-C39</f>
        <v>0</v>
      </c>
      <c r="S39" s="1"/>
    </row>
    <row r="40" spans="1:22" x14ac:dyDescent="0.3">
      <c r="A40" s="18" t="s">
        <v>60</v>
      </c>
      <c r="B40" s="1">
        <f>45001+4971</f>
        <v>49972</v>
      </c>
      <c r="C40" s="1">
        <f>7695+2731</f>
        <v>10426</v>
      </c>
      <c r="D40" s="1">
        <f>4971+6532</f>
        <v>11503</v>
      </c>
      <c r="E40" s="1">
        <v>28043</v>
      </c>
      <c r="F40" s="1">
        <f t="shared" si="1"/>
        <v>0</v>
      </c>
      <c r="G40" s="6">
        <f t="shared" ref="G40:G43" si="3">B40-E40</f>
        <v>21929</v>
      </c>
      <c r="H40" s="10">
        <f>J40*9.81*(LN(B40/(G40)))</f>
        <v>3636.0156688434217</v>
      </c>
      <c r="I40" s="19">
        <f>J40*9.81*(LN(B40/(G40)))</f>
        <v>3636.0156688434217</v>
      </c>
      <c r="J40" s="1">
        <v>450</v>
      </c>
      <c r="K40" s="4">
        <v>1638</v>
      </c>
      <c r="L40" s="1">
        <v>2601</v>
      </c>
      <c r="M40" s="1">
        <v>934</v>
      </c>
      <c r="N40" s="1">
        <v>441</v>
      </c>
      <c r="O40" s="1">
        <f>156+180</f>
        <v>336</v>
      </c>
      <c r="P40" s="1">
        <f>548+2731</f>
        <v>3279</v>
      </c>
      <c r="Q40" s="1">
        <v>1197</v>
      </c>
      <c r="R40" s="1">
        <f>SUM(K40:Q40)-C40</f>
        <v>0</v>
      </c>
      <c r="S40" s="1"/>
    </row>
    <row r="41" spans="1:22" x14ac:dyDescent="0.3">
      <c r="A41" s="18" t="s">
        <v>61</v>
      </c>
      <c r="B41" s="1">
        <f>6912</f>
        <v>6912</v>
      </c>
      <c r="C41" s="1">
        <f>3087</f>
        <v>3087</v>
      </c>
      <c r="D41" s="26">
        <v>480</v>
      </c>
      <c r="E41" s="1">
        <f>3345</f>
        <v>3345</v>
      </c>
      <c r="F41" s="1">
        <f t="shared" si="1"/>
        <v>0</v>
      </c>
      <c r="G41" s="6">
        <f t="shared" si="3"/>
        <v>3567</v>
      </c>
      <c r="H41" s="10">
        <f>J41*9.81*(LN(B41/(G41)))</f>
        <v>2096.1568748948289</v>
      </c>
      <c r="I41" s="19">
        <f>J41*9.81*(LN(B41/(G41)))</f>
        <v>2096.1568748948289</v>
      </c>
      <c r="J41" s="1">
        <v>323</v>
      </c>
      <c r="K41" s="4">
        <v>1050</v>
      </c>
      <c r="L41" s="1">
        <v>479</v>
      </c>
      <c r="M41" s="1">
        <v>244</v>
      </c>
      <c r="N41" s="1">
        <v>273</v>
      </c>
      <c r="O41" s="1">
        <f>323+217</f>
        <v>540</v>
      </c>
      <c r="P41" s="1">
        <v>0</v>
      </c>
      <c r="Q41" s="1">
        <v>501</v>
      </c>
      <c r="R41" s="1">
        <f>SUM(K41:Q41)-C41</f>
        <v>0</v>
      </c>
      <c r="S41" s="1"/>
    </row>
    <row r="42" spans="1:22" x14ac:dyDescent="0.3">
      <c r="A42" s="18" t="s">
        <v>62</v>
      </c>
      <c r="B42" s="1">
        <f>37668+6685</f>
        <v>44353</v>
      </c>
      <c r="C42" s="1">
        <f>11486</f>
        <v>11486</v>
      </c>
      <c r="D42" s="1">
        <v>6685</v>
      </c>
      <c r="E42" s="1">
        <v>26182</v>
      </c>
      <c r="F42" s="1">
        <f t="shared" si="1"/>
        <v>0</v>
      </c>
      <c r="G42" s="1">
        <f t="shared" si="3"/>
        <v>18171</v>
      </c>
      <c r="H42" s="13">
        <f>J42*9.81*(LN(B42/(G42)))</f>
        <v>3939.2942323794919</v>
      </c>
      <c r="I42" s="19">
        <f>J42*9.81*(LN(B42/(G42)))</f>
        <v>3939.2942323794919</v>
      </c>
      <c r="J42" s="1">
        <v>450</v>
      </c>
      <c r="K42" s="4">
        <v>4939</v>
      </c>
      <c r="L42" s="1">
        <v>2352</v>
      </c>
      <c r="M42" s="1">
        <v>1563</v>
      </c>
      <c r="N42" s="1">
        <v>263</v>
      </c>
      <c r="O42" s="1">
        <f>700+340</f>
        <v>1040</v>
      </c>
      <c r="P42" s="1">
        <v>1329</v>
      </c>
      <c r="Q42" s="1">
        <v>0</v>
      </c>
      <c r="R42" s="1">
        <f>SUM(K42:Q42)-C42</f>
        <v>0</v>
      </c>
      <c r="S42" s="1"/>
      <c r="V42" s="28" t="s">
        <v>48</v>
      </c>
    </row>
    <row r="43" spans="1:22" x14ac:dyDescent="0.3">
      <c r="S43" s="1"/>
    </row>
    <row r="44" spans="1:22" x14ac:dyDescent="0.3">
      <c r="A44" s="1"/>
      <c r="B44" s="1"/>
      <c r="C44" s="1"/>
      <c r="D44" s="1"/>
      <c r="E44" s="1"/>
      <c r="F44" s="1"/>
      <c r="G44" s="1"/>
      <c r="H44" s="13"/>
      <c r="I44" s="13"/>
      <c r="J44" s="1"/>
      <c r="K44" s="4"/>
      <c r="L44" s="1"/>
      <c r="M44" s="1"/>
      <c r="N44" s="1"/>
      <c r="O44" s="1"/>
      <c r="P44" s="1"/>
      <c r="Q44" s="1"/>
      <c r="R44" s="1"/>
      <c r="S44" s="1"/>
    </row>
    <row r="45" spans="1:22" x14ac:dyDescent="0.3">
      <c r="A45" s="1"/>
      <c r="B45" s="1"/>
      <c r="C45" s="1"/>
      <c r="D45" s="1"/>
      <c r="E45" s="1"/>
      <c r="F45" s="1"/>
      <c r="G45" s="1"/>
      <c r="H45" s="13"/>
      <c r="I45" s="13"/>
      <c r="J45" s="1"/>
      <c r="K45" s="4"/>
      <c r="L45" s="1"/>
      <c r="M45" s="1"/>
      <c r="N45" s="1"/>
      <c r="O45" s="1"/>
      <c r="P45" s="1"/>
      <c r="Q45" s="1"/>
      <c r="R45" s="1"/>
      <c r="S45" s="1"/>
    </row>
    <row r="46" spans="1:22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4"/>
      <c r="L46" s="1"/>
      <c r="M46" s="1"/>
      <c r="N46" s="1"/>
      <c r="O46" s="1"/>
      <c r="P46" s="1"/>
      <c r="Q46" s="1"/>
      <c r="R46" s="1"/>
      <c r="S46" s="1"/>
    </row>
    <row r="47" spans="1:22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4"/>
      <c r="L47" s="1"/>
      <c r="M47" s="1"/>
      <c r="N47" s="1"/>
      <c r="O47" s="1"/>
      <c r="P47" s="1"/>
      <c r="Q47" s="1"/>
      <c r="R47" s="1"/>
      <c r="S47" s="1"/>
    </row>
  </sheetData>
  <conditionalFormatting sqref="R2:R42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Feuil1archive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2025-07-22T16:36:05Z</dcterms:modified>
</cp:coreProperties>
</file>