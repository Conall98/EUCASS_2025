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Ex1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Ex2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Ex3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harts/chartEx4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charts/chartEx5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charts/chartEx6.xml" ContentType="application/vnd.ms-office.chartex+xml"/>
  <Override PartName="/xl/charts/style16.xml" ContentType="application/vnd.ms-office.chartstyle+xml"/>
  <Override PartName="/xl/charts/colors16.xml" ContentType="application/vnd.ms-office.chartcolorstyle+xml"/>
  <Override PartName="/xl/charts/chartEx7.xml" ContentType="application/vnd.ms-office.chartex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depaor2\Desktop\EUCASS_2025\"/>
    </mc:Choice>
  </mc:AlternateContent>
  <xr:revisionPtr revIDLastSave="0" documentId="13_ncr:1_{CC638C42-CC2D-4C7D-92C0-D7C271CAFE78}" xr6:coauthVersionLast="47" xr6:coauthVersionMax="47" xr10:uidLastSave="{00000000-0000-0000-0000-000000000000}"/>
  <bookViews>
    <workbookView xWindow="-108" yWindow="-108" windowWidth="23256" windowHeight="12456" xr2:uid="{DA27C19A-18DB-4E19-9AD3-8F88A97C8EE8}"/>
  </bookViews>
  <sheets>
    <sheet name="Feuil1" sheetId="2" r:id="rId1"/>
    <sheet name="Feuil1archive" sheetId="1" r:id="rId2"/>
  </sheets>
  <definedNames>
    <definedName name="_xlchart.v1.0" hidden="1">Feuil1archive!$B$2:$B$35</definedName>
    <definedName name="_xlchart.v1.1" hidden="1">Feuil1archive!$N$2:$N$35</definedName>
    <definedName name="_xlchart.v1.2" hidden="1">Feuil1archive!$K$2:$K$35</definedName>
    <definedName name="_xlchart.v1.3" hidden="1">Feuil1archive!$L$2:$L$35</definedName>
    <definedName name="_xlchart.v1.4" hidden="1">Feuil1archive!$M$2:$M$35</definedName>
    <definedName name="_xlchart.v1.5" hidden="1">Feuil1archive!$O$2:$O$35</definedName>
    <definedName name="_xlchart.v1.6" hidden="1">Feuil1archive!$Z$2:$Z$35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E3" i="2"/>
  <c r="F3" i="2"/>
  <c r="G3" i="2"/>
  <c r="H3" i="2"/>
  <c r="I3" i="2"/>
  <c r="J3" i="2"/>
  <c r="K3" i="2"/>
  <c r="L3" i="2"/>
  <c r="M3" i="2"/>
  <c r="N3" i="2"/>
  <c r="O3" i="2"/>
  <c r="E4" i="2"/>
  <c r="F4" i="2"/>
  <c r="G4" i="2"/>
  <c r="H4" i="2"/>
  <c r="I4" i="2"/>
  <c r="J4" i="2"/>
  <c r="K4" i="2"/>
  <c r="L4" i="2"/>
  <c r="M4" i="2"/>
  <c r="N4" i="2"/>
  <c r="O4" i="2"/>
  <c r="E5" i="2"/>
  <c r="F5" i="2"/>
  <c r="G5" i="2"/>
  <c r="H5" i="2"/>
  <c r="I5" i="2"/>
  <c r="J5" i="2"/>
  <c r="K5" i="2"/>
  <c r="L5" i="2"/>
  <c r="M5" i="2"/>
  <c r="N5" i="2"/>
  <c r="O5" i="2"/>
  <c r="E6" i="2"/>
  <c r="F6" i="2"/>
  <c r="G6" i="2"/>
  <c r="H6" i="2"/>
  <c r="I6" i="2"/>
  <c r="J6" i="2"/>
  <c r="K6" i="2"/>
  <c r="L6" i="2"/>
  <c r="M6" i="2"/>
  <c r="N6" i="2"/>
  <c r="O6" i="2"/>
  <c r="E7" i="2"/>
  <c r="F7" i="2"/>
  <c r="G7" i="2"/>
  <c r="H7" i="2"/>
  <c r="I7" i="2"/>
  <c r="J7" i="2"/>
  <c r="K7" i="2"/>
  <c r="L7" i="2"/>
  <c r="M7" i="2"/>
  <c r="N7" i="2"/>
  <c r="O7" i="2"/>
  <c r="E8" i="2"/>
  <c r="F8" i="2"/>
  <c r="G8" i="2"/>
  <c r="H8" i="2"/>
  <c r="I8" i="2"/>
  <c r="J8" i="2"/>
  <c r="K8" i="2"/>
  <c r="L8" i="2"/>
  <c r="M8" i="2"/>
  <c r="N8" i="2"/>
  <c r="O8" i="2"/>
  <c r="E9" i="2"/>
  <c r="F9" i="2"/>
  <c r="G9" i="2"/>
  <c r="H9" i="2"/>
  <c r="I9" i="2"/>
  <c r="J9" i="2"/>
  <c r="K9" i="2"/>
  <c r="L9" i="2"/>
  <c r="M9" i="2"/>
  <c r="N9" i="2"/>
  <c r="O9" i="2"/>
  <c r="E10" i="2"/>
  <c r="F10" i="2"/>
  <c r="G10" i="2"/>
  <c r="H10" i="2"/>
  <c r="I10" i="2"/>
  <c r="J10" i="2"/>
  <c r="K10" i="2"/>
  <c r="L10" i="2"/>
  <c r="M10" i="2"/>
  <c r="N10" i="2"/>
  <c r="O10" i="2"/>
  <c r="E11" i="2"/>
  <c r="F11" i="2"/>
  <c r="G11" i="2"/>
  <c r="H11" i="2"/>
  <c r="I11" i="2"/>
  <c r="J11" i="2"/>
  <c r="K11" i="2"/>
  <c r="L11" i="2"/>
  <c r="M11" i="2"/>
  <c r="N11" i="2"/>
  <c r="O11" i="2"/>
  <c r="E12" i="2"/>
  <c r="F12" i="2"/>
  <c r="G12" i="2"/>
  <c r="H12" i="2"/>
  <c r="I12" i="2"/>
  <c r="J12" i="2"/>
  <c r="K12" i="2"/>
  <c r="L12" i="2"/>
  <c r="M12" i="2"/>
  <c r="N12" i="2"/>
  <c r="O12" i="2"/>
  <c r="E13" i="2"/>
  <c r="F13" i="2"/>
  <c r="G13" i="2"/>
  <c r="H13" i="2"/>
  <c r="I13" i="2"/>
  <c r="J13" i="2"/>
  <c r="K13" i="2"/>
  <c r="L13" i="2"/>
  <c r="M13" i="2"/>
  <c r="N13" i="2"/>
  <c r="O13" i="2"/>
  <c r="E14" i="2"/>
  <c r="F14" i="2"/>
  <c r="G14" i="2"/>
  <c r="H14" i="2"/>
  <c r="I14" i="2"/>
  <c r="J14" i="2"/>
  <c r="K14" i="2"/>
  <c r="L14" i="2"/>
  <c r="M14" i="2"/>
  <c r="N14" i="2"/>
  <c r="O14" i="2"/>
  <c r="E15" i="2"/>
  <c r="F15" i="2"/>
  <c r="G15" i="2"/>
  <c r="H15" i="2"/>
  <c r="I15" i="2"/>
  <c r="J15" i="2"/>
  <c r="K15" i="2"/>
  <c r="L15" i="2"/>
  <c r="M15" i="2"/>
  <c r="N15" i="2"/>
  <c r="O15" i="2"/>
  <c r="E16" i="2"/>
  <c r="F16" i="2"/>
  <c r="G16" i="2"/>
  <c r="H16" i="2"/>
  <c r="I16" i="2"/>
  <c r="J16" i="2"/>
  <c r="K16" i="2"/>
  <c r="L16" i="2"/>
  <c r="M16" i="2"/>
  <c r="N16" i="2"/>
  <c r="O16" i="2"/>
  <c r="E17" i="2"/>
  <c r="F17" i="2"/>
  <c r="G17" i="2"/>
  <c r="H17" i="2"/>
  <c r="I17" i="2"/>
  <c r="J17" i="2"/>
  <c r="K17" i="2"/>
  <c r="L17" i="2"/>
  <c r="M17" i="2"/>
  <c r="N17" i="2"/>
  <c r="O17" i="2"/>
  <c r="E18" i="2"/>
  <c r="F18" i="2"/>
  <c r="G18" i="2"/>
  <c r="H18" i="2"/>
  <c r="I18" i="2"/>
  <c r="J18" i="2"/>
  <c r="K18" i="2"/>
  <c r="L18" i="2"/>
  <c r="M18" i="2"/>
  <c r="N18" i="2"/>
  <c r="O18" i="2"/>
  <c r="E19" i="2"/>
  <c r="F19" i="2"/>
  <c r="G19" i="2"/>
  <c r="H19" i="2"/>
  <c r="I19" i="2"/>
  <c r="J19" i="2"/>
  <c r="K19" i="2"/>
  <c r="L19" i="2"/>
  <c r="M19" i="2"/>
  <c r="N19" i="2"/>
  <c r="O19" i="2"/>
  <c r="E20" i="2"/>
  <c r="F20" i="2"/>
  <c r="G20" i="2"/>
  <c r="H20" i="2"/>
  <c r="I20" i="2"/>
  <c r="J20" i="2"/>
  <c r="K20" i="2"/>
  <c r="L20" i="2"/>
  <c r="M20" i="2"/>
  <c r="N20" i="2"/>
  <c r="O20" i="2"/>
  <c r="E21" i="2"/>
  <c r="F21" i="2"/>
  <c r="G21" i="2"/>
  <c r="H21" i="2"/>
  <c r="I21" i="2"/>
  <c r="J21" i="2"/>
  <c r="K21" i="2"/>
  <c r="L21" i="2"/>
  <c r="M21" i="2"/>
  <c r="N21" i="2"/>
  <c r="O21" i="2"/>
  <c r="E22" i="2"/>
  <c r="F22" i="2"/>
  <c r="G22" i="2"/>
  <c r="H22" i="2"/>
  <c r="I22" i="2"/>
  <c r="J22" i="2"/>
  <c r="K22" i="2"/>
  <c r="L22" i="2"/>
  <c r="M22" i="2"/>
  <c r="N22" i="2"/>
  <c r="O22" i="2"/>
  <c r="E23" i="2"/>
  <c r="F23" i="2"/>
  <c r="G23" i="2"/>
  <c r="H23" i="2"/>
  <c r="I23" i="2"/>
  <c r="J23" i="2"/>
  <c r="K23" i="2"/>
  <c r="L23" i="2"/>
  <c r="M23" i="2"/>
  <c r="N23" i="2"/>
  <c r="O23" i="2"/>
  <c r="E24" i="2"/>
  <c r="F24" i="2"/>
  <c r="G24" i="2"/>
  <c r="H24" i="2"/>
  <c r="I24" i="2"/>
  <c r="J24" i="2"/>
  <c r="K24" i="2"/>
  <c r="L24" i="2"/>
  <c r="M24" i="2"/>
  <c r="N24" i="2"/>
  <c r="O24" i="2"/>
  <c r="E25" i="2"/>
  <c r="F25" i="2"/>
  <c r="G25" i="2"/>
  <c r="H25" i="2"/>
  <c r="I25" i="2"/>
  <c r="J25" i="2"/>
  <c r="K25" i="2"/>
  <c r="L25" i="2"/>
  <c r="M25" i="2"/>
  <c r="N25" i="2"/>
  <c r="O25" i="2"/>
  <c r="E26" i="2"/>
  <c r="F26" i="2"/>
  <c r="G26" i="2"/>
  <c r="H26" i="2"/>
  <c r="I26" i="2"/>
  <c r="J26" i="2"/>
  <c r="K26" i="2"/>
  <c r="L26" i="2"/>
  <c r="M26" i="2"/>
  <c r="N26" i="2"/>
  <c r="O26" i="2"/>
  <c r="E27" i="2"/>
  <c r="F27" i="2"/>
  <c r="G27" i="2"/>
  <c r="H27" i="2"/>
  <c r="I27" i="2"/>
  <c r="J27" i="2"/>
  <c r="K27" i="2"/>
  <c r="L27" i="2"/>
  <c r="M27" i="2"/>
  <c r="N27" i="2"/>
  <c r="O27" i="2"/>
  <c r="E28" i="2"/>
  <c r="F28" i="2"/>
  <c r="G28" i="2"/>
  <c r="H28" i="2"/>
  <c r="I28" i="2"/>
  <c r="J28" i="2"/>
  <c r="K28" i="2"/>
  <c r="L28" i="2"/>
  <c r="M28" i="2"/>
  <c r="N28" i="2"/>
  <c r="O28" i="2"/>
  <c r="E29" i="2"/>
  <c r="F29" i="2"/>
  <c r="G29" i="2"/>
  <c r="H29" i="2"/>
  <c r="I29" i="2"/>
  <c r="J29" i="2"/>
  <c r="K29" i="2"/>
  <c r="L29" i="2"/>
  <c r="M29" i="2"/>
  <c r="N29" i="2"/>
  <c r="O29" i="2"/>
  <c r="E30" i="2"/>
  <c r="F30" i="2"/>
  <c r="G30" i="2"/>
  <c r="H30" i="2"/>
  <c r="I30" i="2"/>
  <c r="J30" i="2"/>
  <c r="K30" i="2"/>
  <c r="L30" i="2"/>
  <c r="M30" i="2"/>
  <c r="N30" i="2"/>
  <c r="O30" i="2"/>
  <c r="E31" i="2"/>
  <c r="F31" i="2"/>
  <c r="G31" i="2"/>
  <c r="H31" i="2"/>
  <c r="I31" i="2"/>
  <c r="J31" i="2"/>
  <c r="K31" i="2"/>
  <c r="L31" i="2"/>
  <c r="M31" i="2"/>
  <c r="N31" i="2"/>
  <c r="O31" i="2"/>
  <c r="E32" i="2"/>
  <c r="F32" i="2"/>
  <c r="G32" i="2"/>
  <c r="H32" i="2"/>
  <c r="I32" i="2"/>
  <c r="J32" i="2"/>
  <c r="K32" i="2"/>
  <c r="L32" i="2"/>
  <c r="M32" i="2"/>
  <c r="N32" i="2"/>
  <c r="O32" i="2"/>
  <c r="E33" i="2"/>
  <c r="F33" i="2"/>
  <c r="G33" i="2"/>
  <c r="H33" i="2"/>
  <c r="I33" i="2"/>
  <c r="J33" i="2"/>
  <c r="K33" i="2"/>
  <c r="L33" i="2"/>
  <c r="M33" i="2"/>
  <c r="N33" i="2"/>
  <c r="O33" i="2"/>
  <c r="E34" i="2"/>
  <c r="F34" i="2"/>
  <c r="G34" i="2"/>
  <c r="H34" i="2"/>
  <c r="I34" i="2"/>
  <c r="J34" i="2"/>
  <c r="K34" i="2"/>
  <c r="L34" i="2"/>
  <c r="M34" i="2"/>
  <c r="N34" i="2"/>
  <c r="O34" i="2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2" i="1"/>
  <c r="P34" i="1" l="1"/>
  <c r="P33" i="1"/>
  <c r="P32" i="1"/>
  <c r="C32" i="1"/>
  <c r="P31" i="1"/>
  <c r="D31" i="1"/>
  <c r="P30" i="1"/>
  <c r="D30" i="1"/>
  <c r="B30" i="1"/>
  <c r="P29" i="1"/>
  <c r="C29" i="1"/>
  <c r="P28" i="1"/>
  <c r="C28" i="1"/>
  <c r="P27" i="1"/>
  <c r="D27" i="1"/>
  <c r="C27" i="1"/>
  <c r="P26" i="1"/>
  <c r="C26" i="1"/>
  <c r="P25" i="1"/>
  <c r="C25" i="1"/>
  <c r="Q24" i="1"/>
  <c r="P24" i="1"/>
  <c r="O24" i="1"/>
  <c r="D24" i="1"/>
  <c r="C24" i="1"/>
  <c r="B24" i="1"/>
  <c r="G24" i="1" s="1"/>
  <c r="H24" i="1" s="1"/>
  <c r="P23" i="1"/>
  <c r="O23" i="1"/>
  <c r="C23" i="1"/>
  <c r="B23" i="1"/>
  <c r="P22" i="1"/>
  <c r="O22" i="1"/>
  <c r="B22" i="1"/>
  <c r="D22" i="1"/>
  <c r="C22" i="1"/>
  <c r="P21" i="1"/>
  <c r="C21" i="1"/>
  <c r="P20" i="1"/>
  <c r="C20" i="1"/>
  <c r="P19" i="1"/>
  <c r="C19" i="1"/>
  <c r="P18" i="1"/>
  <c r="C18" i="1"/>
  <c r="P17" i="1"/>
  <c r="C17" i="1"/>
  <c r="P16" i="1"/>
  <c r="Q16" i="1"/>
  <c r="O16" i="1"/>
  <c r="D17" i="1"/>
  <c r="C16" i="1"/>
  <c r="P15" i="1"/>
  <c r="D15" i="1"/>
  <c r="P14" i="1"/>
  <c r="D11" i="1"/>
  <c r="D10" i="1"/>
  <c r="F7" i="1"/>
  <c r="P13" i="1"/>
  <c r="R13" i="1" s="1"/>
  <c r="P12" i="1"/>
  <c r="Q12" i="1"/>
  <c r="O12" i="1"/>
  <c r="D12" i="1"/>
  <c r="C12" i="1"/>
  <c r="O11" i="1"/>
  <c r="P11" i="1"/>
  <c r="C11" i="1"/>
  <c r="P10" i="1"/>
  <c r="O10" i="1"/>
  <c r="C10" i="1"/>
  <c r="O9" i="1"/>
  <c r="P9" i="1"/>
  <c r="D9" i="1"/>
  <c r="C9" i="1"/>
  <c r="D8" i="1"/>
  <c r="P8" i="1"/>
  <c r="O8" i="1"/>
  <c r="C8" i="1"/>
  <c r="P6" i="1"/>
  <c r="C6" i="1"/>
  <c r="C3" i="1"/>
  <c r="E3" i="1"/>
  <c r="D3" i="1"/>
  <c r="K3" i="1"/>
  <c r="P2" i="1"/>
  <c r="R2" i="1" s="1"/>
  <c r="D2" i="1"/>
  <c r="R4" i="1"/>
  <c r="R5" i="1"/>
  <c r="R7" i="1"/>
  <c r="F22" i="1" l="1"/>
  <c r="F23" i="1"/>
  <c r="F10" i="1"/>
  <c r="R24" i="1"/>
  <c r="F11" i="1"/>
  <c r="F9" i="1"/>
  <c r="F12" i="1"/>
  <c r="I24" i="1"/>
  <c r="F24" i="1"/>
  <c r="F8" i="1"/>
  <c r="R6" i="1"/>
  <c r="R10" i="1"/>
  <c r="R3" i="1"/>
  <c r="R11" i="1"/>
  <c r="R9" i="1"/>
  <c r="R8" i="1"/>
  <c r="J2" i="2"/>
  <c r="K2" i="2"/>
  <c r="L2" i="2"/>
  <c r="H2" i="2"/>
  <c r="O35" i="1"/>
  <c r="C35" i="1"/>
  <c r="B35" i="1"/>
  <c r="G35" i="1" s="1"/>
  <c r="O34" i="1"/>
  <c r="D34" i="1"/>
  <c r="C34" i="1"/>
  <c r="B34" i="1"/>
  <c r="G34" i="1" s="1"/>
  <c r="O33" i="1"/>
  <c r="E33" i="1"/>
  <c r="D33" i="1"/>
  <c r="C33" i="1"/>
  <c r="B33" i="1"/>
  <c r="O32" i="1"/>
  <c r="K32" i="1"/>
  <c r="E32" i="1"/>
  <c r="D32" i="1"/>
  <c r="B32" i="1"/>
  <c r="O31" i="1"/>
  <c r="E31" i="1"/>
  <c r="C31" i="1"/>
  <c r="B31" i="1"/>
  <c r="O30" i="1"/>
  <c r="E30" i="1"/>
  <c r="C30" i="1"/>
  <c r="O29" i="1"/>
  <c r="B29" i="1"/>
  <c r="F29" i="1" s="1"/>
  <c r="Q28" i="1"/>
  <c r="O28" i="1"/>
  <c r="D28" i="1"/>
  <c r="B28" i="1"/>
  <c r="G28" i="1" s="1"/>
  <c r="O27" i="1"/>
  <c r="B27" i="1"/>
  <c r="G27" i="1" s="1"/>
  <c r="O26" i="1"/>
  <c r="R26" i="1" s="1"/>
  <c r="E26" i="1"/>
  <c r="D26" i="1"/>
  <c r="B26" i="1"/>
  <c r="Q25" i="1"/>
  <c r="O25" i="1"/>
  <c r="E25" i="1"/>
  <c r="D25" i="1"/>
  <c r="B25" i="1"/>
  <c r="G23" i="1"/>
  <c r="I23" i="1" s="1"/>
  <c r="O21" i="1"/>
  <c r="R21" i="1" s="1"/>
  <c r="B21" i="1"/>
  <c r="G21" i="1" s="1"/>
  <c r="O20" i="1"/>
  <c r="B20" i="1"/>
  <c r="F20" i="1" s="1"/>
  <c r="O19" i="1"/>
  <c r="D19" i="1"/>
  <c r="B19" i="1"/>
  <c r="O18" i="1"/>
  <c r="E18" i="1"/>
  <c r="D18" i="1"/>
  <c r="B18" i="1"/>
  <c r="Q17" i="1"/>
  <c r="O17" i="1"/>
  <c r="B17" i="1"/>
  <c r="F17" i="1" s="1"/>
  <c r="D16" i="1"/>
  <c r="B16" i="1"/>
  <c r="G16" i="1" s="1"/>
  <c r="B14" i="1"/>
  <c r="G14" i="1" s="1"/>
  <c r="B15" i="1"/>
  <c r="C15" i="1"/>
  <c r="O15" i="1"/>
  <c r="O14" i="1"/>
  <c r="C14" i="1"/>
  <c r="D14" i="1"/>
  <c r="B13" i="1"/>
  <c r="F13" i="1" s="1"/>
  <c r="F16" i="1" l="1"/>
  <c r="F15" i="1"/>
  <c r="G33" i="1"/>
  <c r="H33" i="1" s="1"/>
  <c r="F19" i="1"/>
  <c r="F35" i="1"/>
  <c r="F18" i="1"/>
  <c r="F31" i="1"/>
  <c r="F33" i="1"/>
  <c r="F26" i="1"/>
  <c r="F25" i="1"/>
  <c r="F32" i="1"/>
  <c r="F28" i="1"/>
  <c r="F27" i="1"/>
  <c r="F34" i="1"/>
  <c r="F30" i="1"/>
  <c r="F21" i="1"/>
  <c r="F14" i="1"/>
  <c r="R33" i="1"/>
  <c r="R31" i="1"/>
  <c r="R15" i="1"/>
  <c r="R25" i="1"/>
  <c r="H21" i="1"/>
  <c r="I21" i="1"/>
  <c r="H27" i="1"/>
  <c r="I27" i="1"/>
  <c r="H34" i="1"/>
  <c r="I34" i="1"/>
  <c r="I33" i="1"/>
  <c r="H35" i="1"/>
  <c r="I35" i="1"/>
  <c r="H16" i="1"/>
  <c r="I16" i="1"/>
  <c r="H28" i="1"/>
  <c r="I28" i="1"/>
  <c r="H14" i="1"/>
  <c r="I14" i="1"/>
  <c r="R23" i="1"/>
  <c r="R19" i="1"/>
  <c r="R18" i="1"/>
  <c r="R34" i="1"/>
  <c r="R12" i="1"/>
  <c r="R17" i="1"/>
  <c r="R30" i="1"/>
  <c r="R20" i="1"/>
  <c r="R28" i="1"/>
  <c r="R14" i="1"/>
  <c r="R16" i="1"/>
  <c r="R29" i="1"/>
  <c r="R35" i="1"/>
  <c r="R27" i="1"/>
  <c r="R22" i="1"/>
  <c r="I2" i="2"/>
  <c r="R32" i="1"/>
  <c r="E2" i="2"/>
  <c r="G17" i="1"/>
  <c r="I17" i="1" s="1"/>
  <c r="O2" i="2"/>
  <c r="G19" i="1"/>
  <c r="I19" i="1" s="1"/>
  <c r="N2" i="2"/>
  <c r="C2" i="2"/>
  <c r="M2" i="2"/>
  <c r="D2" i="2"/>
  <c r="G29" i="1"/>
  <c r="I29" i="1" s="1"/>
  <c r="G26" i="1"/>
  <c r="I26" i="1" s="1"/>
  <c r="G22" i="1"/>
  <c r="I22" i="1" s="1"/>
  <c r="G30" i="1"/>
  <c r="I30" i="1" s="1"/>
  <c r="G20" i="1"/>
  <c r="I20" i="1" s="1"/>
  <c r="H23" i="1"/>
  <c r="G15" i="1"/>
  <c r="I15" i="1" s="1"/>
  <c r="G32" i="1"/>
  <c r="I32" i="1" s="1"/>
  <c r="G13" i="1"/>
  <c r="G18" i="1"/>
  <c r="I18" i="1" s="1"/>
  <c r="G12" i="1"/>
  <c r="I12" i="1" s="1"/>
  <c r="G25" i="1"/>
  <c r="I25" i="1" s="1"/>
  <c r="G31" i="1"/>
  <c r="I31" i="1" s="1"/>
  <c r="H25" i="1" l="1"/>
  <c r="H13" i="1"/>
  <c r="I13" i="1"/>
  <c r="H15" i="1"/>
  <c r="H29" i="1"/>
  <c r="H30" i="1"/>
  <c r="H17" i="1"/>
  <c r="H26" i="1"/>
  <c r="H32" i="1"/>
  <c r="H22" i="1"/>
  <c r="H31" i="1"/>
  <c r="H12" i="1"/>
  <c r="H19" i="1"/>
  <c r="H20" i="1"/>
  <c r="H18" i="1"/>
  <c r="B6" i="1"/>
  <c r="F6" i="1" s="1"/>
  <c r="B5" i="1"/>
  <c r="F5" i="1" s="1"/>
  <c r="B4" i="1"/>
  <c r="F4" i="1" s="1"/>
  <c r="B3" i="1"/>
  <c r="F3" i="1" s="1"/>
  <c r="B2" i="1"/>
  <c r="T2" i="1"/>
  <c r="T5" i="1"/>
  <c r="T4" i="1"/>
  <c r="T12" i="1"/>
  <c r="F2" i="1" l="1"/>
  <c r="B2" i="2"/>
  <c r="G7" i="1"/>
  <c r="I7" i="1" s="1"/>
  <c r="G8" i="1"/>
  <c r="I8" i="1" s="1"/>
  <c r="G9" i="1"/>
  <c r="I9" i="1" s="1"/>
  <c r="G6" i="1"/>
  <c r="I6" i="1" s="1"/>
  <c r="G10" i="1"/>
  <c r="I10" i="1" s="1"/>
  <c r="G11" i="1"/>
  <c r="I11" i="1" s="1"/>
  <c r="G3" i="1"/>
  <c r="I3" i="1" s="1"/>
  <c r="G4" i="1"/>
  <c r="I4" i="1" s="1"/>
  <c r="G5" i="1"/>
  <c r="I5" i="1" s="1"/>
  <c r="G2" i="1"/>
  <c r="I2" i="1" s="1"/>
  <c r="F2" i="2" l="1"/>
  <c r="G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Conall DE PAOR</author>
  </authors>
  <commentList>
    <comment ref="P1" authorId="0" shapeId="0" xr:uid="{8A9123FB-E3D6-4A34-A108-3BA4AC23ABC7}">
      <text>
        <r>
          <rPr>
            <b/>
            <sz val="9"/>
            <color indexed="81"/>
            <rFont val="Tahoma"/>
            <charset val="1"/>
          </rPr>
          <t>Conall DE PAOR:</t>
        </r>
        <r>
          <rPr>
            <sz val="9"/>
            <color indexed="81"/>
            <rFont val="Tahoma"/>
            <charset val="1"/>
          </rPr>
          <t xml:space="preserve">
other plus the "non-cargo" part
</t>
        </r>
      </text>
    </comment>
    <comment ref="D8" authorId="0" shapeId="0" xr:uid="{68F0C63D-DF5B-4F7C-A433-F6BC069B1825}">
      <text>
        <r>
          <rPr>
            <b/>
            <sz val="9"/>
            <color indexed="81"/>
            <rFont val="Tahoma"/>
            <charset val="1"/>
          </rPr>
          <t>Conall DE PAOR:</t>
        </r>
        <r>
          <rPr>
            <sz val="9"/>
            <color indexed="81"/>
            <rFont val="Tahoma"/>
            <charset val="1"/>
          </rPr>
          <t xml:space="preserve">
adjustment to correct probable error in the source</t>
        </r>
      </text>
    </comment>
  </commentList>
</comments>
</file>

<file path=xl/sharedStrings.xml><?xml version="1.0" encoding="utf-8"?>
<sst xmlns="http://schemas.openxmlformats.org/spreadsheetml/2006/main" count="111" uniqueCount="61">
  <si>
    <t>md</t>
  </si>
  <si>
    <t>mp</t>
  </si>
  <si>
    <t>mprop</t>
  </si>
  <si>
    <t>dV</t>
  </si>
  <si>
    <t>Isp</t>
  </si>
  <si>
    <t>Structure</t>
  </si>
  <si>
    <t>Propulsion</t>
  </si>
  <si>
    <t>Power</t>
  </si>
  <si>
    <t>Avionics</t>
  </si>
  <si>
    <t>Thermal Protection</t>
  </si>
  <si>
    <t>Other</t>
  </si>
  <si>
    <t>growth</t>
  </si>
  <si>
    <t>Apollo J-series</t>
  </si>
  <si>
    <t>9508-HLR-1</t>
  </si>
  <si>
    <t>8801-EE-1 LOX-LH2</t>
  </si>
  <si>
    <t>8801-EE-1 N2O4/MMH</t>
  </si>
  <si>
    <t>0503-CE&amp;R-8</t>
  </si>
  <si>
    <t>0507-ESAS-D</t>
  </si>
  <si>
    <t>0507-ESAS-F</t>
  </si>
  <si>
    <t>0507-ESAS-H</t>
  </si>
  <si>
    <t>0507-ESAS-J</t>
  </si>
  <si>
    <t>Lander</t>
  </si>
  <si>
    <t>9205-FLO-1-CLS</t>
  </si>
  <si>
    <t>0610-LAT-1</t>
  </si>
  <si>
    <t>kW</t>
  </si>
  <si>
    <t>kWh</t>
  </si>
  <si>
    <t>mt</t>
  </si>
  <si>
    <t>notes</t>
  </si>
  <si>
    <t>0503-CE&amp;R-3</t>
  </si>
  <si>
    <t>heat rejection</t>
  </si>
  <si>
    <t>0507-ESAS-A</t>
  </si>
  <si>
    <t>0507-ESAS-B</t>
  </si>
  <si>
    <t>minert</t>
  </si>
  <si>
    <t>descent stage also performs LOI</t>
  </si>
  <si>
    <t>0605-LLPS-LaRC-1A</t>
  </si>
  <si>
    <t>0605-LLPS-LaRC-1B</t>
  </si>
  <si>
    <t>0605-LLPS-LaRC-1C</t>
  </si>
  <si>
    <t>0605-LLPS-LaRC-1D</t>
  </si>
  <si>
    <t>0605-LLPS-LaRC-1E</t>
  </si>
  <si>
    <t>0605-LLPS-LaRC-1F</t>
  </si>
  <si>
    <t>descent stage also performs LOI, probable Isp for the LOX methan</t>
  </si>
  <si>
    <t>0605-LLPS-LaRC-1G</t>
  </si>
  <si>
    <t>0605-LLPS-LaRC-1H</t>
  </si>
  <si>
    <t>lander performs LOI</t>
  </si>
  <si>
    <t>0605-LLPS-LaRC-2</t>
  </si>
  <si>
    <t>0605-LLPS-GFSC-1</t>
  </si>
  <si>
    <t>0605-LLPS-GSFC-3</t>
  </si>
  <si>
    <t>0605-LLPS-1GSFC-4</t>
  </si>
  <si>
    <t>skycrane</t>
  </si>
  <si>
    <t>0605-LLPS-JSC-6</t>
  </si>
  <si>
    <t>0605-LLPS-MSFC-1</t>
  </si>
  <si>
    <t>0605-LLPS-MSFC-2</t>
  </si>
  <si>
    <t>0605-LLPS-MSFC-3</t>
  </si>
  <si>
    <t>0605-LLPS-MSFC-4</t>
  </si>
  <si>
    <t>0605-LLPS-MSFC-6</t>
  </si>
  <si>
    <t>0609-LLPS-JSC-sortie</t>
  </si>
  <si>
    <t>delta</t>
  </si>
  <si>
    <t>dv_check</t>
  </si>
  <si>
    <t>0610-LAT-3</t>
  </si>
  <si>
    <t>md_check</t>
  </si>
  <si>
    <t>0605-LLPS-LaRC-1i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</si>
</sst>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5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5" xfId="0" applyBorder="1" applyAlignment="1">
      <alignment horizontal="center"/>
    </xf>
    <xf numFmtId="1" fontId="0" fillId="2" borderId="0" xfId="0" applyNumberFormat="1" applyFill="1" applyAlignment="1">
      <alignment horizontal="center"/>
    </xf>
    <xf numFmtId="0" fontId="0" fillId="2" borderId="5" xfId="0" applyFill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5" xfId="0" applyNumberFormat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1" fontId="0" fillId="2" borderId="5" xfId="0" applyNumberForma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/>
    <xf numFmtId="0" fontId="0" fillId="3" borderId="5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5" xfId="0" applyBorder="1" applyAlignment="1">
      <alignment horizontal="left"/>
    </xf>
    <xf numFmtId="2" fontId="0" fillId="0" borderId="7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STR(minert)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00947767826398"/>
          <c:y val="0.18039323613826527"/>
          <c:w val="0.8397080831368382"/>
          <c:h val="0.72203015828007644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0.18816636747866508"/>
                  <c:y val="-0.4324853501451864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Feuil1archive!$C$2:$C$35</c:f>
              <c:numCache>
                <c:formatCode>General</c:formatCode>
                <c:ptCount val="34"/>
                <c:pt idx="0">
                  <c:v>2373</c:v>
                </c:pt>
                <c:pt idx="1">
                  <c:v>1171.9000000000001</c:v>
                </c:pt>
                <c:pt idx="2">
                  <c:v>9823</c:v>
                </c:pt>
                <c:pt idx="3">
                  <c:v>7899</c:v>
                </c:pt>
                <c:pt idx="4">
                  <c:v>12992</c:v>
                </c:pt>
                <c:pt idx="5">
                  <c:v>5858</c:v>
                </c:pt>
                <c:pt idx="6">
                  <c:v>11508</c:v>
                </c:pt>
                <c:pt idx="7">
                  <c:v>11334</c:v>
                </c:pt>
                <c:pt idx="8">
                  <c:v>9167</c:v>
                </c:pt>
                <c:pt idx="9">
                  <c:v>9077</c:v>
                </c:pt>
                <c:pt idx="10">
                  <c:v>8775</c:v>
                </c:pt>
                <c:pt idx="11">
                  <c:v>6692</c:v>
                </c:pt>
                <c:pt idx="12">
                  <c:v>7655</c:v>
                </c:pt>
                <c:pt idx="13">
                  <c:v>9874</c:v>
                </c:pt>
                <c:pt idx="14">
                  <c:v>5472</c:v>
                </c:pt>
                <c:pt idx="15">
                  <c:v>7684</c:v>
                </c:pt>
                <c:pt idx="16">
                  <c:v>3106</c:v>
                </c:pt>
                <c:pt idx="17">
                  <c:v>4532</c:v>
                </c:pt>
                <c:pt idx="18">
                  <c:v>3106</c:v>
                </c:pt>
                <c:pt idx="19">
                  <c:v>4532</c:v>
                </c:pt>
                <c:pt idx="20">
                  <c:v>3106</c:v>
                </c:pt>
                <c:pt idx="21">
                  <c:v>5492</c:v>
                </c:pt>
                <c:pt idx="22">
                  <c:v>5492</c:v>
                </c:pt>
                <c:pt idx="23">
                  <c:v>6630</c:v>
                </c:pt>
                <c:pt idx="24">
                  <c:v>10447</c:v>
                </c:pt>
                <c:pt idx="25">
                  <c:v>10615</c:v>
                </c:pt>
                <c:pt idx="26">
                  <c:v>10337</c:v>
                </c:pt>
                <c:pt idx="27">
                  <c:v>8272</c:v>
                </c:pt>
                <c:pt idx="28">
                  <c:v>15331</c:v>
                </c:pt>
                <c:pt idx="29">
                  <c:v>15119</c:v>
                </c:pt>
                <c:pt idx="30">
                  <c:v>16020</c:v>
                </c:pt>
                <c:pt idx="31">
                  <c:v>11020</c:v>
                </c:pt>
                <c:pt idx="32">
                  <c:v>10426</c:v>
                </c:pt>
                <c:pt idx="33">
                  <c:v>11486</c:v>
                </c:pt>
              </c:numCache>
            </c:numRef>
          </c:xVal>
          <c:yVal>
            <c:numRef>
              <c:f>Feuil1archive!$K$2:$K$35</c:f>
              <c:numCache>
                <c:formatCode>General</c:formatCode>
                <c:ptCount val="34"/>
                <c:pt idx="0">
                  <c:v>460</c:v>
                </c:pt>
                <c:pt idx="1">
                  <c:v>504.1</c:v>
                </c:pt>
                <c:pt idx="2">
                  <c:v>1681</c:v>
                </c:pt>
                <c:pt idx="3">
                  <c:v>1955</c:v>
                </c:pt>
                <c:pt idx="4">
                  <c:v>1770</c:v>
                </c:pt>
                <c:pt idx="5">
                  <c:v>2822</c:v>
                </c:pt>
                <c:pt idx="6">
                  <c:v>2015</c:v>
                </c:pt>
                <c:pt idx="7">
                  <c:v>1985</c:v>
                </c:pt>
                <c:pt idx="8">
                  <c:v>1877</c:v>
                </c:pt>
                <c:pt idx="9">
                  <c:v>1860</c:v>
                </c:pt>
                <c:pt idx="10">
                  <c:v>535</c:v>
                </c:pt>
                <c:pt idx="11">
                  <c:v>3757</c:v>
                </c:pt>
                <c:pt idx="12">
                  <c:v>1113</c:v>
                </c:pt>
                <c:pt idx="13">
                  <c:v>2432</c:v>
                </c:pt>
                <c:pt idx="14">
                  <c:v>1011</c:v>
                </c:pt>
                <c:pt idx="15">
                  <c:v>1355</c:v>
                </c:pt>
                <c:pt idx="16">
                  <c:v>451</c:v>
                </c:pt>
                <c:pt idx="17">
                  <c:v>717</c:v>
                </c:pt>
                <c:pt idx="18">
                  <c:v>451</c:v>
                </c:pt>
                <c:pt idx="19">
                  <c:v>717</c:v>
                </c:pt>
                <c:pt idx="20">
                  <c:v>451</c:v>
                </c:pt>
                <c:pt idx="21">
                  <c:v>1017</c:v>
                </c:pt>
                <c:pt idx="22">
                  <c:v>1017</c:v>
                </c:pt>
                <c:pt idx="23">
                  <c:v>1150</c:v>
                </c:pt>
                <c:pt idx="24">
                  <c:v>1932</c:v>
                </c:pt>
                <c:pt idx="25">
                  <c:v>2203</c:v>
                </c:pt>
                <c:pt idx="26">
                  <c:v>2289</c:v>
                </c:pt>
                <c:pt idx="27">
                  <c:v>1113</c:v>
                </c:pt>
                <c:pt idx="28">
                  <c:v>4545</c:v>
                </c:pt>
                <c:pt idx="29">
                  <c:v>4430</c:v>
                </c:pt>
                <c:pt idx="30">
                  <c:v>6565</c:v>
                </c:pt>
                <c:pt idx="31">
                  <c:v>1856</c:v>
                </c:pt>
                <c:pt idx="32">
                  <c:v>1638</c:v>
                </c:pt>
                <c:pt idx="33">
                  <c:v>4939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60-41EE-98CA-EC8048E85E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3453680"/>
        <c:axId val="1883455120"/>
      </c:scatterChart>
      <c:valAx>
        <c:axId val="1883453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83455120"/>
        <c:crosses val="autoZero"/>
        <c:crossBetween val="midCat"/>
      </c:valAx>
      <c:valAx>
        <c:axId val="188345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83453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STR(md)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564801848748497"/>
          <c:y val="0.17585410895660208"/>
          <c:w val="0.8397080831368382"/>
          <c:h val="0.72203015828007644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0.14920642208353693"/>
                  <c:y val="-0.4215540244969379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Feuil1archive!$C$2:$C$35</c:f>
              <c:numCache>
                <c:formatCode>General</c:formatCode>
                <c:ptCount val="34"/>
                <c:pt idx="0">
                  <c:v>2373</c:v>
                </c:pt>
                <c:pt idx="1">
                  <c:v>1171.9000000000001</c:v>
                </c:pt>
                <c:pt idx="2">
                  <c:v>9823</c:v>
                </c:pt>
                <c:pt idx="3">
                  <c:v>7899</c:v>
                </c:pt>
                <c:pt idx="4">
                  <c:v>12992</c:v>
                </c:pt>
                <c:pt idx="5">
                  <c:v>5858</c:v>
                </c:pt>
                <c:pt idx="6">
                  <c:v>11508</c:v>
                </c:pt>
                <c:pt idx="7">
                  <c:v>11334</c:v>
                </c:pt>
                <c:pt idx="8">
                  <c:v>9167</c:v>
                </c:pt>
                <c:pt idx="9">
                  <c:v>9077</c:v>
                </c:pt>
                <c:pt idx="10">
                  <c:v>8775</c:v>
                </c:pt>
                <c:pt idx="11">
                  <c:v>6692</c:v>
                </c:pt>
                <c:pt idx="12">
                  <c:v>7655</c:v>
                </c:pt>
                <c:pt idx="13">
                  <c:v>9874</c:v>
                </c:pt>
                <c:pt idx="14">
                  <c:v>5472</c:v>
                </c:pt>
                <c:pt idx="15">
                  <c:v>7684</c:v>
                </c:pt>
                <c:pt idx="16">
                  <c:v>3106</c:v>
                </c:pt>
                <c:pt idx="17">
                  <c:v>4532</c:v>
                </c:pt>
                <c:pt idx="18">
                  <c:v>3106</c:v>
                </c:pt>
                <c:pt idx="19">
                  <c:v>4532</c:v>
                </c:pt>
                <c:pt idx="20">
                  <c:v>3106</c:v>
                </c:pt>
                <c:pt idx="21">
                  <c:v>5492</c:v>
                </c:pt>
                <c:pt idx="22">
                  <c:v>5492</c:v>
                </c:pt>
                <c:pt idx="23">
                  <c:v>6630</c:v>
                </c:pt>
                <c:pt idx="24">
                  <c:v>10447</c:v>
                </c:pt>
                <c:pt idx="25">
                  <c:v>10615</c:v>
                </c:pt>
                <c:pt idx="26">
                  <c:v>10337</c:v>
                </c:pt>
                <c:pt idx="27">
                  <c:v>8272</c:v>
                </c:pt>
                <c:pt idx="28">
                  <c:v>15331</c:v>
                </c:pt>
                <c:pt idx="29">
                  <c:v>15119</c:v>
                </c:pt>
                <c:pt idx="30">
                  <c:v>16020</c:v>
                </c:pt>
                <c:pt idx="31">
                  <c:v>11020</c:v>
                </c:pt>
                <c:pt idx="32">
                  <c:v>10426</c:v>
                </c:pt>
                <c:pt idx="33">
                  <c:v>11486</c:v>
                </c:pt>
              </c:numCache>
            </c:numRef>
          </c:xVal>
          <c:yVal>
            <c:numRef>
              <c:f>Feuil1archive!$K$2:$K$35</c:f>
              <c:numCache>
                <c:formatCode>General</c:formatCode>
                <c:ptCount val="34"/>
                <c:pt idx="0">
                  <c:v>460</c:v>
                </c:pt>
                <c:pt idx="1">
                  <c:v>504.1</c:v>
                </c:pt>
                <c:pt idx="2">
                  <c:v>1681</c:v>
                </c:pt>
                <c:pt idx="3">
                  <c:v>1955</c:v>
                </c:pt>
                <c:pt idx="4">
                  <c:v>1770</c:v>
                </c:pt>
                <c:pt idx="5">
                  <c:v>2822</c:v>
                </c:pt>
                <c:pt idx="6">
                  <c:v>2015</c:v>
                </c:pt>
                <c:pt idx="7">
                  <c:v>1985</c:v>
                </c:pt>
                <c:pt idx="8">
                  <c:v>1877</c:v>
                </c:pt>
                <c:pt idx="9">
                  <c:v>1860</c:v>
                </c:pt>
                <c:pt idx="10">
                  <c:v>535</c:v>
                </c:pt>
                <c:pt idx="11">
                  <c:v>3757</c:v>
                </c:pt>
                <c:pt idx="12">
                  <c:v>1113</c:v>
                </c:pt>
                <c:pt idx="13">
                  <c:v>2432</c:v>
                </c:pt>
                <c:pt idx="14">
                  <c:v>1011</c:v>
                </c:pt>
                <c:pt idx="15">
                  <c:v>1355</c:v>
                </c:pt>
                <c:pt idx="16">
                  <c:v>451</c:v>
                </c:pt>
                <c:pt idx="17">
                  <c:v>717</c:v>
                </c:pt>
                <c:pt idx="18">
                  <c:v>451</c:v>
                </c:pt>
                <c:pt idx="19">
                  <c:v>717</c:v>
                </c:pt>
                <c:pt idx="20">
                  <c:v>451</c:v>
                </c:pt>
                <c:pt idx="21">
                  <c:v>1017</c:v>
                </c:pt>
                <c:pt idx="22">
                  <c:v>1017</c:v>
                </c:pt>
                <c:pt idx="23">
                  <c:v>1150</c:v>
                </c:pt>
                <c:pt idx="24">
                  <c:v>1932</c:v>
                </c:pt>
                <c:pt idx="25">
                  <c:v>2203</c:v>
                </c:pt>
                <c:pt idx="26">
                  <c:v>2289</c:v>
                </c:pt>
                <c:pt idx="27">
                  <c:v>1113</c:v>
                </c:pt>
                <c:pt idx="28">
                  <c:v>4545</c:v>
                </c:pt>
                <c:pt idx="29">
                  <c:v>4430</c:v>
                </c:pt>
                <c:pt idx="30">
                  <c:v>6565</c:v>
                </c:pt>
                <c:pt idx="31">
                  <c:v>1856</c:v>
                </c:pt>
                <c:pt idx="32">
                  <c:v>1638</c:v>
                </c:pt>
                <c:pt idx="33">
                  <c:v>4939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81-4DE5-8FD8-7688BA427E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3453680"/>
        <c:axId val="1883455120"/>
      </c:scatterChart>
      <c:valAx>
        <c:axId val="1883453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83455120"/>
        <c:crosses val="autoZero"/>
        <c:crossBetween val="midCat"/>
      </c:valAx>
      <c:valAx>
        <c:axId val="188345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83453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AVIO(minert)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1800838504020904E-2"/>
          <c:y val="0.16673607017700048"/>
          <c:w val="0.8397080831368382"/>
          <c:h val="0.72203015828007644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0.16586614719807255"/>
                  <c:y val="-0.5215283287643248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Feuil1archive!$G$2:$G$35</c:f>
              <c:numCache>
                <c:formatCode>General</c:formatCode>
                <c:ptCount val="34"/>
                <c:pt idx="0">
                  <c:v>7667</c:v>
                </c:pt>
                <c:pt idx="1">
                  <c:v>1674</c:v>
                </c:pt>
                <c:pt idx="2">
                  <c:v>34823</c:v>
                </c:pt>
                <c:pt idx="3">
                  <c:v>32899</c:v>
                </c:pt>
                <c:pt idx="4">
                  <c:v>48886</c:v>
                </c:pt>
                <c:pt idx="5">
                  <c:v>22319</c:v>
                </c:pt>
                <c:pt idx="6">
                  <c:v>35449</c:v>
                </c:pt>
                <c:pt idx="7">
                  <c:v>33156</c:v>
                </c:pt>
                <c:pt idx="8">
                  <c:v>26655</c:v>
                </c:pt>
                <c:pt idx="9">
                  <c:v>25491</c:v>
                </c:pt>
                <c:pt idx="10">
                  <c:v>29637</c:v>
                </c:pt>
                <c:pt idx="11">
                  <c:v>25017</c:v>
                </c:pt>
                <c:pt idx="12">
                  <c:v>20757</c:v>
                </c:pt>
                <c:pt idx="13">
                  <c:v>52142</c:v>
                </c:pt>
                <c:pt idx="14">
                  <c:v>14817</c:v>
                </c:pt>
                <c:pt idx="15">
                  <c:v>17086</c:v>
                </c:pt>
                <c:pt idx="16">
                  <c:v>12433</c:v>
                </c:pt>
                <c:pt idx="17">
                  <c:v>13789</c:v>
                </c:pt>
                <c:pt idx="18">
                  <c:v>12706</c:v>
                </c:pt>
                <c:pt idx="19">
                  <c:v>13845</c:v>
                </c:pt>
                <c:pt idx="20">
                  <c:v>12706</c:v>
                </c:pt>
                <c:pt idx="21">
                  <c:v>19943</c:v>
                </c:pt>
                <c:pt idx="22">
                  <c:v>19726</c:v>
                </c:pt>
                <c:pt idx="23">
                  <c:v>12680</c:v>
                </c:pt>
                <c:pt idx="24">
                  <c:v>20294</c:v>
                </c:pt>
                <c:pt idx="25">
                  <c:v>20295</c:v>
                </c:pt>
                <c:pt idx="26">
                  <c:v>20293</c:v>
                </c:pt>
                <c:pt idx="27">
                  <c:v>27272</c:v>
                </c:pt>
                <c:pt idx="28">
                  <c:v>21929</c:v>
                </c:pt>
                <c:pt idx="29">
                  <c:v>21929</c:v>
                </c:pt>
                <c:pt idx="30">
                  <c:v>21962</c:v>
                </c:pt>
                <c:pt idx="31">
                  <c:v>21928</c:v>
                </c:pt>
                <c:pt idx="32">
                  <c:v>21929</c:v>
                </c:pt>
                <c:pt idx="33">
                  <c:v>18171</c:v>
                </c:pt>
              </c:numCache>
            </c:numRef>
          </c:xVal>
          <c:yVal>
            <c:numRef>
              <c:f>Feuil1archive!$N$2:$N$35</c:f>
              <c:numCache>
                <c:formatCode>General</c:formatCode>
                <c:ptCount val="34"/>
                <c:pt idx="0">
                  <c:v>29</c:v>
                </c:pt>
                <c:pt idx="1">
                  <c:v>120.1</c:v>
                </c:pt>
                <c:pt idx="2">
                  <c:v>934</c:v>
                </c:pt>
                <c:pt idx="3">
                  <c:v>1062</c:v>
                </c:pt>
                <c:pt idx="4">
                  <c:v>307</c:v>
                </c:pt>
                <c:pt idx="5">
                  <c:v>817</c:v>
                </c:pt>
                <c:pt idx="6">
                  <c:v>594</c:v>
                </c:pt>
                <c:pt idx="7">
                  <c:v>594</c:v>
                </c:pt>
                <c:pt idx="8">
                  <c:v>594</c:v>
                </c:pt>
                <c:pt idx="9">
                  <c:v>594</c:v>
                </c:pt>
                <c:pt idx="10">
                  <c:v>731</c:v>
                </c:pt>
                <c:pt idx="11">
                  <c:v>199</c:v>
                </c:pt>
                <c:pt idx="12">
                  <c:v>69</c:v>
                </c:pt>
                <c:pt idx="13">
                  <c:v>145</c:v>
                </c:pt>
                <c:pt idx="14">
                  <c:v>69</c:v>
                </c:pt>
                <c:pt idx="15">
                  <c:v>69</c:v>
                </c:pt>
                <c:pt idx="16">
                  <c:v>69</c:v>
                </c:pt>
                <c:pt idx="17">
                  <c:v>69</c:v>
                </c:pt>
                <c:pt idx="18">
                  <c:v>69</c:v>
                </c:pt>
                <c:pt idx="19">
                  <c:v>69</c:v>
                </c:pt>
                <c:pt idx="20">
                  <c:v>69</c:v>
                </c:pt>
                <c:pt idx="21">
                  <c:v>69</c:v>
                </c:pt>
                <c:pt idx="22">
                  <c:v>69</c:v>
                </c:pt>
                <c:pt idx="23">
                  <c:v>80</c:v>
                </c:pt>
                <c:pt idx="24">
                  <c:v>306</c:v>
                </c:pt>
                <c:pt idx="25">
                  <c:v>306</c:v>
                </c:pt>
                <c:pt idx="26">
                  <c:v>354</c:v>
                </c:pt>
                <c:pt idx="27">
                  <c:v>69</c:v>
                </c:pt>
                <c:pt idx="28">
                  <c:v>441</c:v>
                </c:pt>
                <c:pt idx="29">
                  <c:v>441</c:v>
                </c:pt>
                <c:pt idx="30">
                  <c:v>441</c:v>
                </c:pt>
                <c:pt idx="31">
                  <c:v>441</c:v>
                </c:pt>
                <c:pt idx="32">
                  <c:v>441</c:v>
                </c:pt>
                <c:pt idx="33">
                  <c:v>263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B0-47EC-ABF6-2D351079E7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3453680"/>
        <c:axId val="1883455120"/>
      </c:scatterChart>
      <c:valAx>
        <c:axId val="1883453680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83455120"/>
        <c:crosses val="autoZero"/>
        <c:crossBetween val="midCat"/>
      </c:valAx>
      <c:valAx>
        <c:axId val="188345512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83453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POW(md)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564801848748497"/>
          <c:y val="0.17585410895660208"/>
          <c:w val="0.8397080831368382"/>
          <c:h val="0.72203015828007644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0.20487114651433963"/>
                  <c:y val="-0.4521939962223667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Feuil1archive!$C$2:$C$35</c:f>
              <c:numCache>
                <c:formatCode>General</c:formatCode>
                <c:ptCount val="34"/>
                <c:pt idx="0">
                  <c:v>2373</c:v>
                </c:pt>
                <c:pt idx="1">
                  <c:v>1171.9000000000001</c:v>
                </c:pt>
                <c:pt idx="2">
                  <c:v>9823</c:v>
                </c:pt>
                <c:pt idx="3">
                  <c:v>7899</c:v>
                </c:pt>
                <c:pt idx="4">
                  <c:v>12992</c:v>
                </c:pt>
                <c:pt idx="5">
                  <c:v>5858</c:v>
                </c:pt>
                <c:pt idx="6">
                  <c:v>11508</c:v>
                </c:pt>
                <c:pt idx="7">
                  <c:v>11334</c:v>
                </c:pt>
                <c:pt idx="8">
                  <c:v>9167</c:v>
                </c:pt>
                <c:pt idx="9">
                  <c:v>9077</c:v>
                </c:pt>
                <c:pt idx="10">
                  <c:v>8775</c:v>
                </c:pt>
                <c:pt idx="11">
                  <c:v>6692</c:v>
                </c:pt>
                <c:pt idx="12">
                  <c:v>7655</c:v>
                </c:pt>
                <c:pt idx="13">
                  <c:v>9874</c:v>
                </c:pt>
                <c:pt idx="14">
                  <c:v>5472</c:v>
                </c:pt>
                <c:pt idx="15">
                  <c:v>7684</c:v>
                </c:pt>
                <c:pt idx="16">
                  <c:v>3106</c:v>
                </c:pt>
                <c:pt idx="17">
                  <c:v>4532</c:v>
                </c:pt>
                <c:pt idx="18">
                  <c:v>3106</c:v>
                </c:pt>
                <c:pt idx="19">
                  <c:v>4532</c:v>
                </c:pt>
                <c:pt idx="20">
                  <c:v>3106</c:v>
                </c:pt>
                <c:pt idx="21">
                  <c:v>5492</c:v>
                </c:pt>
                <c:pt idx="22">
                  <c:v>5492</c:v>
                </c:pt>
                <c:pt idx="23">
                  <c:v>6630</c:v>
                </c:pt>
                <c:pt idx="24">
                  <c:v>10447</c:v>
                </c:pt>
                <c:pt idx="25">
                  <c:v>10615</c:v>
                </c:pt>
                <c:pt idx="26">
                  <c:v>10337</c:v>
                </c:pt>
                <c:pt idx="27">
                  <c:v>8272</c:v>
                </c:pt>
                <c:pt idx="28">
                  <c:v>15331</c:v>
                </c:pt>
                <c:pt idx="29">
                  <c:v>15119</c:v>
                </c:pt>
                <c:pt idx="30">
                  <c:v>16020</c:v>
                </c:pt>
                <c:pt idx="31">
                  <c:v>11020</c:v>
                </c:pt>
                <c:pt idx="32">
                  <c:v>10426</c:v>
                </c:pt>
                <c:pt idx="33">
                  <c:v>11486</c:v>
                </c:pt>
              </c:numCache>
            </c:numRef>
          </c:xVal>
          <c:yVal>
            <c:numRef>
              <c:f>Feuil1archive!$M$2:$M$35</c:f>
              <c:numCache>
                <c:formatCode>General</c:formatCode>
                <c:ptCount val="34"/>
                <c:pt idx="0">
                  <c:v>366</c:v>
                </c:pt>
                <c:pt idx="1">
                  <c:v>125.7</c:v>
                </c:pt>
                <c:pt idx="2">
                  <c:v>478</c:v>
                </c:pt>
                <c:pt idx="3">
                  <c:v>478</c:v>
                </c:pt>
                <c:pt idx="4">
                  <c:v>385</c:v>
                </c:pt>
                <c:pt idx="5">
                  <c:v>204</c:v>
                </c:pt>
                <c:pt idx="6">
                  <c:v>553</c:v>
                </c:pt>
                <c:pt idx="7">
                  <c:v>553</c:v>
                </c:pt>
                <c:pt idx="8">
                  <c:v>553</c:v>
                </c:pt>
                <c:pt idx="9">
                  <c:v>553</c:v>
                </c:pt>
                <c:pt idx="10">
                  <c:v>909</c:v>
                </c:pt>
                <c:pt idx="11">
                  <c:v>400</c:v>
                </c:pt>
                <c:pt idx="12">
                  <c:v>468</c:v>
                </c:pt>
                <c:pt idx="13">
                  <c:v>336</c:v>
                </c:pt>
                <c:pt idx="14">
                  <c:v>306</c:v>
                </c:pt>
                <c:pt idx="15">
                  <c:v>306</c:v>
                </c:pt>
                <c:pt idx="16">
                  <c:v>306</c:v>
                </c:pt>
                <c:pt idx="17">
                  <c:v>306</c:v>
                </c:pt>
                <c:pt idx="18">
                  <c:v>306</c:v>
                </c:pt>
                <c:pt idx="19">
                  <c:v>306</c:v>
                </c:pt>
                <c:pt idx="20">
                  <c:v>306</c:v>
                </c:pt>
                <c:pt idx="21">
                  <c:v>306</c:v>
                </c:pt>
                <c:pt idx="22">
                  <c:v>306</c:v>
                </c:pt>
                <c:pt idx="23">
                  <c:v>630</c:v>
                </c:pt>
                <c:pt idx="24">
                  <c:v>468</c:v>
                </c:pt>
                <c:pt idx="25">
                  <c:v>468</c:v>
                </c:pt>
                <c:pt idx="26">
                  <c:v>468</c:v>
                </c:pt>
                <c:pt idx="27">
                  <c:v>468</c:v>
                </c:pt>
                <c:pt idx="28">
                  <c:v>934</c:v>
                </c:pt>
                <c:pt idx="29">
                  <c:v>934</c:v>
                </c:pt>
                <c:pt idx="30">
                  <c:v>934</c:v>
                </c:pt>
                <c:pt idx="31">
                  <c:v>934</c:v>
                </c:pt>
                <c:pt idx="32">
                  <c:v>934</c:v>
                </c:pt>
                <c:pt idx="33">
                  <c:v>1563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09-4513-BADE-A00B79301E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3453680"/>
        <c:axId val="1883455120"/>
      </c:scatterChart>
      <c:valAx>
        <c:axId val="1883453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83455120"/>
        <c:crosses val="autoZero"/>
        <c:crossBetween val="midCat"/>
      </c:valAx>
      <c:valAx>
        <c:axId val="188345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83453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PRPL(mprop)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564801848748497"/>
          <c:y val="0.17585410895660208"/>
          <c:w val="0.8397080831368382"/>
          <c:h val="0.72203015828007644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8.8711730801091723E-2"/>
                  <c:y val="-0.3270753421284465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Feuil1archive!$E$2:$E$35</c:f>
              <c:numCache>
                <c:formatCode>General</c:formatCode>
                <c:ptCount val="34"/>
                <c:pt idx="0">
                  <c:v>8527</c:v>
                </c:pt>
                <c:pt idx="1">
                  <c:v>3364.6000000000004</c:v>
                </c:pt>
                <c:pt idx="2">
                  <c:v>25252</c:v>
                </c:pt>
                <c:pt idx="3">
                  <c:v>36399</c:v>
                </c:pt>
                <c:pt idx="4">
                  <c:v>44151</c:v>
                </c:pt>
                <c:pt idx="5">
                  <c:v>22502</c:v>
                </c:pt>
                <c:pt idx="6">
                  <c:v>25486</c:v>
                </c:pt>
                <c:pt idx="7">
                  <c:v>23833</c:v>
                </c:pt>
                <c:pt idx="8">
                  <c:v>19152</c:v>
                </c:pt>
                <c:pt idx="9">
                  <c:v>18312</c:v>
                </c:pt>
                <c:pt idx="10">
                  <c:v>23963</c:v>
                </c:pt>
                <c:pt idx="11">
                  <c:v>29580</c:v>
                </c:pt>
                <c:pt idx="12">
                  <c:v>25105</c:v>
                </c:pt>
                <c:pt idx="13">
                  <c:v>29769</c:v>
                </c:pt>
                <c:pt idx="14">
                  <c:v>27442</c:v>
                </c:pt>
                <c:pt idx="15">
                  <c:v>24744</c:v>
                </c:pt>
                <c:pt idx="16">
                  <c:v>10458</c:v>
                </c:pt>
                <c:pt idx="17">
                  <c:v>9350</c:v>
                </c:pt>
                <c:pt idx="18">
                  <c:v>10458</c:v>
                </c:pt>
                <c:pt idx="19">
                  <c:v>9350</c:v>
                </c:pt>
                <c:pt idx="20">
                  <c:v>10458</c:v>
                </c:pt>
                <c:pt idx="21">
                  <c:v>27575</c:v>
                </c:pt>
                <c:pt idx="22">
                  <c:v>27575</c:v>
                </c:pt>
                <c:pt idx="23">
                  <c:v>6900</c:v>
                </c:pt>
                <c:pt idx="24">
                  <c:v>24706</c:v>
                </c:pt>
                <c:pt idx="25">
                  <c:v>24706</c:v>
                </c:pt>
                <c:pt idx="26">
                  <c:v>24706</c:v>
                </c:pt>
                <c:pt idx="27">
                  <c:v>26371</c:v>
                </c:pt>
                <c:pt idx="28">
                  <c:v>28043</c:v>
                </c:pt>
                <c:pt idx="29">
                  <c:v>28043</c:v>
                </c:pt>
                <c:pt idx="30">
                  <c:v>28043</c:v>
                </c:pt>
                <c:pt idx="31">
                  <c:v>28043</c:v>
                </c:pt>
                <c:pt idx="32">
                  <c:v>28043</c:v>
                </c:pt>
                <c:pt idx="33">
                  <c:v>26182</c:v>
                </c:pt>
              </c:numCache>
            </c:numRef>
          </c:xVal>
          <c:yVal>
            <c:numRef>
              <c:f>Feuil1archive!$L$2:$L$35</c:f>
              <c:numCache>
                <c:formatCode>General</c:formatCode>
                <c:ptCount val="34"/>
                <c:pt idx="0">
                  <c:v>495</c:v>
                </c:pt>
                <c:pt idx="1">
                  <c:v>252.5</c:v>
                </c:pt>
                <c:pt idx="2">
                  <c:v>4258</c:v>
                </c:pt>
                <c:pt idx="3">
                  <c:v>2943</c:v>
                </c:pt>
                <c:pt idx="4">
                  <c:v>4969</c:v>
                </c:pt>
                <c:pt idx="5">
                  <c:v>1749</c:v>
                </c:pt>
                <c:pt idx="6">
                  <c:v>2425</c:v>
                </c:pt>
                <c:pt idx="7">
                  <c:v>2347</c:v>
                </c:pt>
                <c:pt idx="8">
                  <c:v>1125</c:v>
                </c:pt>
                <c:pt idx="9">
                  <c:v>1095</c:v>
                </c:pt>
                <c:pt idx="10">
                  <c:v>3006</c:v>
                </c:pt>
                <c:pt idx="11">
                  <c:v>1219</c:v>
                </c:pt>
                <c:pt idx="12">
                  <c:v>2362</c:v>
                </c:pt>
                <c:pt idx="13">
                  <c:v>1826</c:v>
                </c:pt>
                <c:pt idx="14">
                  <c:v>1616</c:v>
                </c:pt>
                <c:pt idx="15">
                  <c:v>2013</c:v>
                </c:pt>
                <c:pt idx="16">
                  <c:v>677</c:v>
                </c:pt>
                <c:pt idx="17">
                  <c:v>955</c:v>
                </c:pt>
                <c:pt idx="18">
                  <c:v>677</c:v>
                </c:pt>
                <c:pt idx="19">
                  <c:v>955</c:v>
                </c:pt>
                <c:pt idx="20">
                  <c:v>677</c:v>
                </c:pt>
                <c:pt idx="21">
                  <c:v>1624</c:v>
                </c:pt>
                <c:pt idx="22">
                  <c:v>1624</c:v>
                </c:pt>
                <c:pt idx="23">
                  <c:v>750</c:v>
                </c:pt>
                <c:pt idx="24">
                  <c:v>2239</c:v>
                </c:pt>
                <c:pt idx="25">
                  <c:v>2239</c:v>
                </c:pt>
                <c:pt idx="26">
                  <c:v>2239</c:v>
                </c:pt>
                <c:pt idx="27">
                  <c:v>2362</c:v>
                </c:pt>
                <c:pt idx="28">
                  <c:v>3111</c:v>
                </c:pt>
                <c:pt idx="29">
                  <c:v>3182</c:v>
                </c:pt>
                <c:pt idx="30">
                  <c:v>2889</c:v>
                </c:pt>
                <c:pt idx="31">
                  <c:v>2578</c:v>
                </c:pt>
                <c:pt idx="32">
                  <c:v>2601</c:v>
                </c:pt>
                <c:pt idx="33">
                  <c:v>2352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5F-4E93-8E17-36753B156E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3453680"/>
        <c:axId val="1883455120"/>
      </c:scatterChart>
      <c:valAx>
        <c:axId val="1883453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83455120"/>
        <c:crosses val="autoZero"/>
        <c:crossBetween val="midCat"/>
      </c:valAx>
      <c:valAx>
        <c:axId val="188345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83453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PRPL(mt)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564801848748497"/>
          <c:y val="0.17585410895660208"/>
          <c:w val="0.8397080831368382"/>
          <c:h val="0.72203015828007644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8.8711730801091723E-2"/>
                  <c:y val="-0.3270753421284465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Feuil1archive!$B$2:$B$35</c:f>
              <c:numCache>
                <c:formatCode>General</c:formatCode>
                <c:ptCount val="34"/>
                <c:pt idx="0">
                  <c:v>16194</c:v>
                </c:pt>
                <c:pt idx="1">
                  <c:v>5038.6000000000004</c:v>
                </c:pt>
                <c:pt idx="2">
                  <c:v>60075</c:v>
                </c:pt>
                <c:pt idx="3">
                  <c:v>69298</c:v>
                </c:pt>
                <c:pt idx="4">
                  <c:v>93037</c:v>
                </c:pt>
                <c:pt idx="5">
                  <c:v>44821</c:v>
                </c:pt>
                <c:pt idx="6">
                  <c:v>60935</c:v>
                </c:pt>
                <c:pt idx="7">
                  <c:v>56989</c:v>
                </c:pt>
                <c:pt idx="8">
                  <c:v>45807</c:v>
                </c:pt>
                <c:pt idx="9">
                  <c:v>43803</c:v>
                </c:pt>
                <c:pt idx="10">
                  <c:v>53600</c:v>
                </c:pt>
                <c:pt idx="11">
                  <c:v>54597</c:v>
                </c:pt>
                <c:pt idx="12">
                  <c:v>45862</c:v>
                </c:pt>
                <c:pt idx="13">
                  <c:v>81911</c:v>
                </c:pt>
                <c:pt idx="14">
                  <c:v>42259</c:v>
                </c:pt>
                <c:pt idx="15">
                  <c:v>41830</c:v>
                </c:pt>
                <c:pt idx="16">
                  <c:v>22891</c:v>
                </c:pt>
                <c:pt idx="17">
                  <c:v>23139</c:v>
                </c:pt>
                <c:pt idx="18">
                  <c:v>23164</c:v>
                </c:pt>
                <c:pt idx="19">
                  <c:v>23195</c:v>
                </c:pt>
                <c:pt idx="20">
                  <c:v>23164</c:v>
                </c:pt>
                <c:pt idx="21">
                  <c:v>47518</c:v>
                </c:pt>
                <c:pt idx="22">
                  <c:v>47301</c:v>
                </c:pt>
                <c:pt idx="23">
                  <c:v>19580</c:v>
                </c:pt>
                <c:pt idx="24">
                  <c:v>45000</c:v>
                </c:pt>
                <c:pt idx="25">
                  <c:v>45001</c:v>
                </c:pt>
                <c:pt idx="26">
                  <c:v>44999</c:v>
                </c:pt>
                <c:pt idx="27">
                  <c:v>53643</c:v>
                </c:pt>
                <c:pt idx="28">
                  <c:v>49972</c:v>
                </c:pt>
                <c:pt idx="29">
                  <c:v>49972</c:v>
                </c:pt>
                <c:pt idx="30">
                  <c:v>50005</c:v>
                </c:pt>
                <c:pt idx="31">
                  <c:v>49971</c:v>
                </c:pt>
                <c:pt idx="32">
                  <c:v>49972</c:v>
                </c:pt>
                <c:pt idx="33">
                  <c:v>44353</c:v>
                </c:pt>
              </c:numCache>
            </c:numRef>
          </c:xVal>
          <c:yVal>
            <c:numRef>
              <c:f>Feuil1archive!$L$2:$L$35</c:f>
              <c:numCache>
                <c:formatCode>General</c:formatCode>
                <c:ptCount val="34"/>
                <c:pt idx="0">
                  <c:v>495</c:v>
                </c:pt>
                <c:pt idx="1">
                  <c:v>252.5</c:v>
                </c:pt>
                <c:pt idx="2">
                  <c:v>4258</c:v>
                </c:pt>
                <c:pt idx="3">
                  <c:v>2943</c:v>
                </c:pt>
                <c:pt idx="4">
                  <c:v>4969</c:v>
                </c:pt>
                <c:pt idx="5">
                  <c:v>1749</c:v>
                </c:pt>
                <c:pt idx="6">
                  <c:v>2425</c:v>
                </c:pt>
                <c:pt idx="7">
                  <c:v>2347</c:v>
                </c:pt>
                <c:pt idx="8">
                  <c:v>1125</c:v>
                </c:pt>
                <c:pt idx="9">
                  <c:v>1095</c:v>
                </c:pt>
                <c:pt idx="10">
                  <c:v>3006</c:v>
                </c:pt>
                <c:pt idx="11">
                  <c:v>1219</c:v>
                </c:pt>
                <c:pt idx="12">
                  <c:v>2362</c:v>
                </c:pt>
                <c:pt idx="13">
                  <c:v>1826</c:v>
                </c:pt>
                <c:pt idx="14">
                  <c:v>1616</c:v>
                </c:pt>
                <c:pt idx="15">
                  <c:v>2013</c:v>
                </c:pt>
                <c:pt idx="16">
                  <c:v>677</c:v>
                </c:pt>
                <c:pt idx="17">
                  <c:v>955</c:v>
                </c:pt>
                <c:pt idx="18">
                  <c:v>677</c:v>
                </c:pt>
                <c:pt idx="19">
                  <c:v>955</c:v>
                </c:pt>
                <c:pt idx="20">
                  <c:v>677</c:v>
                </c:pt>
                <c:pt idx="21">
                  <c:v>1624</c:v>
                </c:pt>
                <c:pt idx="22">
                  <c:v>1624</c:v>
                </c:pt>
                <c:pt idx="23">
                  <c:v>750</c:v>
                </c:pt>
                <c:pt idx="24">
                  <c:v>2239</c:v>
                </c:pt>
                <c:pt idx="25">
                  <c:v>2239</c:v>
                </c:pt>
                <c:pt idx="26">
                  <c:v>2239</c:v>
                </c:pt>
                <c:pt idx="27">
                  <c:v>2362</c:v>
                </c:pt>
                <c:pt idx="28">
                  <c:v>3111</c:v>
                </c:pt>
                <c:pt idx="29">
                  <c:v>3182</c:v>
                </c:pt>
                <c:pt idx="30">
                  <c:v>2889</c:v>
                </c:pt>
                <c:pt idx="31">
                  <c:v>2578</c:v>
                </c:pt>
                <c:pt idx="32">
                  <c:v>2601</c:v>
                </c:pt>
                <c:pt idx="33">
                  <c:v>2352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C4-4182-9169-217DF28AA2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3453680"/>
        <c:axId val="1883455120"/>
      </c:scatterChart>
      <c:valAx>
        <c:axId val="1883453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83455120"/>
        <c:crosses val="autoZero"/>
        <c:crossBetween val="midCat"/>
      </c:valAx>
      <c:valAx>
        <c:axId val="188345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83453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Thermal(minert)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564801848748497"/>
          <c:y val="0.17585410895660208"/>
          <c:w val="0.8397080831368382"/>
          <c:h val="0.72203015828007644"/>
        </c:manualLayout>
      </c:layout>
      <c:scatterChart>
        <c:scatterStyle val="lineMarker"/>
        <c:varyColors val="0"/>
        <c:ser>
          <c:idx val="0"/>
          <c:order val="0"/>
          <c:tx>
            <c:strRef>
              <c:f>Feuil1archive!$B$2:$B$35</c:f>
              <c:strCache>
                <c:ptCount val="34"/>
                <c:pt idx="0">
                  <c:v>16194</c:v>
                </c:pt>
                <c:pt idx="1">
                  <c:v>5038.6</c:v>
                </c:pt>
                <c:pt idx="2">
                  <c:v>60075</c:v>
                </c:pt>
                <c:pt idx="3">
                  <c:v>69298</c:v>
                </c:pt>
                <c:pt idx="4">
                  <c:v>93037</c:v>
                </c:pt>
                <c:pt idx="5">
                  <c:v>44821</c:v>
                </c:pt>
                <c:pt idx="6">
                  <c:v>60935</c:v>
                </c:pt>
                <c:pt idx="7">
                  <c:v>56989</c:v>
                </c:pt>
                <c:pt idx="8">
                  <c:v>45807</c:v>
                </c:pt>
                <c:pt idx="9">
                  <c:v>43803</c:v>
                </c:pt>
                <c:pt idx="10">
                  <c:v>53600</c:v>
                </c:pt>
                <c:pt idx="11">
                  <c:v>54597</c:v>
                </c:pt>
                <c:pt idx="12">
                  <c:v>45862</c:v>
                </c:pt>
                <c:pt idx="13">
                  <c:v>81911</c:v>
                </c:pt>
                <c:pt idx="14">
                  <c:v>42259</c:v>
                </c:pt>
                <c:pt idx="15">
                  <c:v>41830</c:v>
                </c:pt>
                <c:pt idx="16">
                  <c:v>22891</c:v>
                </c:pt>
                <c:pt idx="17">
                  <c:v>23139</c:v>
                </c:pt>
                <c:pt idx="18">
                  <c:v>23164</c:v>
                </c:pt>
                <c:pt idx="19">
                  <c:v>23195</c:v>
                </c:pt>
                <c:pt idx="20">
                  <c:v>23164</c:v>
                </c:pt>
                <c:pt idx="21">
                  <c:v>47518</c:v>
                </c:pt>
                <c:pt idx="22">
                  <c:v>47301</c:v>
                </c:pt>
                <c:pt idx="23">
                  <c:v>19580</c:v>
                </c:pt>
                <c:pt idx="24">
                  <c:v>45000</c:v>
                </c:pt>
                <c:pt idx="25">
                  <c:v>45001</c:v>
                </c:pt>
                <c:pt idx="26">
                  <c:v>44999</c:v>
                </c:pt>
                <c:pt idx="27">
                  <c:v>53643</c:v>
                </c:pt>
                <c:pt idx="28">
                  <c:v>49972</c:v>
                </c:pt>
                <c:pt idx="29">
                  <c:v>49972</c:v>
                </c:pt>
                <c:pt idx="30">
                  <c:v>50005</c:v>
                </c:pt>
                <c:pt idx="31">
                  <c:v>49971</c:v>
                </c:pt>
                <c:pt idx="32">
                  <c:v>49972</c:v>
                </c:pt>
                <c:pt idx="33">
                  <c:v>44353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6.4770305709289461E-2"/>
                  <c:y val="-0.452902740304315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Feuil1archive!$G$2:$G$35</c:f>
              <c:numCache>
                <c:formatCode>General</c:formatCode>
                <c:ptCount val="34"/>
                <c:pt idx="0">
                  <c:v>7667</c:v>
                </c:pt>
                <c:pt idx="1">
                  <c:v>1674</c:v>
                </c:pt>
                <c:pt idx="2">
                  <c:v>34823</c:v>
                </c:pt>
                <c:pt idx="3">
                  <c:v>32899</c:v>
                </c:pt>
                <c:pt idx="4">
                  <c:v>48886</c:v>
                </c:pt>
                <c:pt idx="5">
                  <c:v>22319</c:v>
                </c:pt>
                <c:pt idx="6">
                  <c:v>35449</c:v>
                </c:pt>
                <c:pt idx="7">
                  <c:v>33156</c:v>
                </c:pt>
                <c:pt idx="8">
                  <c:v>26655</c:v>
                </c:pt>
                <c:pt idx="9">
                  <c:v>25491</c:v>
                </c:pt>
                <c:pt idx="10">
                  <c:v>29637</c:v>
                </c:pt>
                <c:pt idx="11">
                  <c:v>25017</c:v>
                </c:pt>
                <c:pt idx="12">
                  <c:v>20757</c:v>
                </c:pt>
                <c:pt idx="13">
                  <c:v>52142</c:v>
                </c:pt>
                <c:pt idx="14">
                  <c:v>14817</c:v>
                </c:pt>
                <c:pt idx="15">
                  <c:v>17086</c:v>
                </c:pt>
                <c:pt idx="16">
                  <c:v>12433</c:v>
                </c:pt>
                <c:pt idx="17">
                  <c:v>13789</c:v>
                </c:pt>
                <c:pt idx="18">
                  <c:v>12706</c:v>
                </c:pt>
                <c:pt idx="19">
                  <c:v>13845</c:v>
                </c:pt>
                <c:pt idx="20">
                  <c:v>12706</c:v>
                </c:pt>
                <c:pt idx="21">
                  <c:v>19943</c:v>
                </c:pt>
                <c:pt idx="22">
                  <c:v>19726</c:v>
                </c:pt>
                <c:pt idx="23">
                  <c:v>12680</c:v>
                </c:pt>
                <c:pt idx="24">
                  <c:v>20294</c:v>
                </c:pt>
                <c:pt idx="25">
                  <c:v>20295</c:v>
                </c:pt>
                <c:pt idx="26">
                  <c:v>20293</c:v>
                </c:pt>
                <c:pt idx="27">
                  <c:v>27272</c:v>
                </c:pt>
                <c:pt idx="28">
                  <c:v>21929</c:v>
                </c:pt>
                <c:pt idx="29">
                  <c:v>21929</c:v>
                </c:pt>
                <c:pt idx="30">
                  <c:v>21962</c:v>
                </c:pt>
                <c:pt idx="31">
                  <c:v>21928</c:v>
                </c:pt>
                <c:pt idx="32">
                  <c:v>21929</c:v>
                </c:pt>
                <c:pt idx="33">
                  <c:v>18171</c:v>
                </c:pt>
              </c:numCache>
            </c:numRef>
          </c:xVal>
          <c:yVal>
            <c:numRef>
              <c:f>Feuil1archive!$O$2:$O$35</c:f>
              <c:numCache>
                <c:formatCode>General</c:formatCode>
                <c:ptCount val="34"/>
                <c:pt idx="0">
                  <c:v>404</c:v>
                </c:pt>
                <c:pt idx="1">
                  <c:v>113.5</c:v>
                </c:pt>
                <c:pt idx="2">
                  <c:v>2017</c:v>
                </c:pt>
                <c:pt idx="3">
                  <c:v>1006</c:v>
                </c:pt>
                <c:pt idx="4">
                  <c:v>420</c:v>
                </c:pt>
                <c:pt idx="5">
                  <c:v>1</c:v>
                </c:pt>
                <c:pt idx="6">
                  <c:v>1072</c:v>
                </c:pt>
                <c:pt idx="7">
                  <c:v>1066</c:v>
                </c:pt>
                <c:pt idx="8">
                  <c:v>1049</c:v>
                </c:pt>
                <c:pt idx="9">
                  <c:v>1046</c:v>
                </c:pt>
                <c:pt idx="10">
                  <c:v>832</c:v>
                </c:pt>
                <c:pt idx="11">
                  <c:v>1</c:v>
                </c:pt>
                <c:pt idx="12">
                  <c:v>369</c:v>
                </c:pt>
                <c:pt idx="13">
                  <c:v>1168</c:v>
                </c:pt>
                <c:pt idx="14">
                  <c:v>286</c:v>
                </c:pt>
                <c:pt idx="15">
                  <c:v>265</c:v>
                </c:pt>
                <c:pt idx="16">
                  <c:v>210</c:v>
                </c:pt>
                <c:pt idx="17">
                  <c:v>219</c:v>
                </c:pt>
                <c:pt idx="18">
                  <c:v>210</c:v>
                </c:pt>
                <c:pt idx="19">
                  <c:v>219</c:v>
                </c:pt>
                <c:pt idx="20">
                  <c:v>210</c:v>
                </c:pt>
                <c:pt idx="21">
                  <c:v>286</c:v>
                </c:pt>
                <c:pt idx="22">
                  <c:v>286</c:v>
                </c:pt>
                <c:pt idx="23">
                  <c:v>800</c:v>
                </c:pt>
                <c:pt idx="24">
                  <c:v>1207</c:v>
                </c:pt>
                <c:pt idx="25">
                  <c:v>1192</c:v>
                </c:pt>
                <c:pt idx="26">
                  <c:v>1192</c:v>
                </c:pt>
                <c:pt idx="27">
                  <c:v>369</c:v>
                </c:pt>
                <c:pt idx="28">
                  <c:v>336</c:v>
                </c:pt>
                <c:pt idx="29">
                  <c:v>336</c:v>
                </c:pt>
                <c:pt idx="30">
                  <c:v>336</c:v>
                </c:pt>
                <c:pt idx="31">
                  <c:v>336</c:v>
                </c:pt>
                <c:pt idx="32">
                  <c:v>336</c:v>
                </c:pt>
                <c:pt idx="33">
                  <c:v>1040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6A-449C-AD28-33C29CBD0E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3453680"/>
        <c:axId val="1883455120"/>
      </c:scatterChart>
      <c:valAx>
        <c:axId val="1883453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83455120"/>
        <c:crosses val="autoZero"/>
        <c:crossBetween val="midCat"/>
      </c:valAx>
      <c:valAx>
        <c:axId val="188345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83453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Thermal(mt)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564801848748497"/>
          <c:y val="0.17585410895660208"/>
          <c:w val="0.8397080831368382"/>
          <c:h val="0.72203015828007644"/>
        </c:manualLayout>
      </c:layout>
      <c:scatterChart>
        <c:scatterStyle val="lineMarker"/>
        <c:varyColors val="0"/>
        <c:ser>
          <c:idx val="0"/>
          <c:order val="0"/>
          <c:tx>
            <c:strRef>
              <c:f>Feuil1archive!$B$2:$B$35</c:f>
              <c:strCache>
                <c:ptCount val="34"/>
                <c:pt idx="0">
                  <c:v>16194</c:v>
                </c:pt>
                <c:pt idx="1">
                  <c:v>5038.6</c:v>
                </c:pt>
                <c:pt idx="2">
                  <c:v>60075</c:v>
                </c:pt>
                <c:pt idx="3">
                  <c:v>69298</c:v>
                </c:pt>
                <c:pt idx="4">
                  <c:v>93037</c:v>
                </c:pt>
                <c:pt idx="5">
                  <c:v>44821</c:v>
                </c:pt>
                <c:pt idx="6">
                  <c:v>60935</c:v>
                </c:pt>
                <c:pt idx="7">
                  <c:v>56989</c:v>
                </c:pt>
                <c:pt idx="8">
                  <c:v>45807</c:v>
                </c:pt>
                <c:pt idx="9">
                  <c:v>43803</c:v>
                </c:pt>
                <c:pt idx="10">
                  <c:v>53600</c:v>
                </c:pt>
                <c:pt idx="11">
                  <c:v>54597</c:v>
                </c:pt>
                <c:pt idx="12">
                  <c:v>45862</c:v>
                </c:pt>
                <c:pt idx="13">
                  <c:v>81911</c:v>
                </c:pt>
                <c:pt idx="14">
                  <c:v>42259</c:v>
                </c:pt>
                <c:pt idx="15">
                  <c:v>41830</c:v>
                </c:pt>
                <c:pt idx="16">
                  <c:v>22891</c:v>
                </c:pt>
                <c:pt idx="17">
                  <c:v>23139</c:v>
                </c:pt>
                <c:pt idx="18">
                  <c:v>23164</c:v>
                </c:pt>
                <c:pt idx="19">
                  <c:v>23195</c:v>
                </c:pt>
                <c:pt idx="20">
                  <c:v>23164</c:v>
                </c:pt>
                <c:pt idx="21">
                  <c:v>47518</c:v>
                </c:pt>
                <c:pt idx="22">
                  <c:v>47301</c:v>
                </c:pt>
                <c:pt idx="23">
                  <c:v>19580</c:v>
                </c:pt>
                <c:pt idx="24">
                  <c:v>45000</c:v>
                </c:pt>
                <c:pt idx="25">
                  <c:v>45001</c:v>
                </c:pt>
                <c:pt idx="26">
                  <c:v>44999</c:v>
                </c:pt>
                <c:pt idx="27">
                  <c:v>53643</c:v>
                </c:pt>
                <c:pt idx="28">
                  <c:v>49972</c:v>
                </c:pt>
                <c:pt idx="29">
                  <c:v>49972</c:v>
                </c:pt>
                <c:pt idx="30">
                  <c:v>50005</c:v>
                </c:pt>
                <c:pt idx="31">
                  <c:v>49971</c:v>
                </c:pt>
                <c:pt idx="32">
                  <c:v>49972</c:v>
                </c:pt>
                <c:pt idx="33">
                  <c:v>44353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6.4770305709289461E-2"/>
                  <c:y val="-0.452902740304315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Feuil1archive!$B$2:$B$35</c:f>
              <c:numCache>
                <c:formatCode>General</c:formatCode>
                <c:ptCount val="34"/>
                <c:pt idx="0">
                  <c:v>16194</c:v>
                </c:pt>
                <c:pt idx="1">
                  <c:v>5038.6000000000004</c:v>
                </c:pt>
                <c:pt idx="2">
                  <c:v>60075</c:v>
                </c:pt>
                <c:pt idx="3">
                  <c:v>69298</c:v>
                </c:pt>
                <c:pt idx="4">
                  <c:v>93037</c:v>
                </c:pt>
                <c:pt idx="5">
                  <c:v>44821</c:v>
                </c:pt>
                <c:pt idx="6">
                  <c:v>60935</c:v>
                </c:pt>
                <c:pt idx="7">
                  <c:v>56989</c:v>
                </c:pt>
                <c:pt idx="8">
                  <c:v>45807</c:v>
                </c:pt>
                <c:pt idx="9">
                  <c:v>43803</c:v>
                </c:pt>
                <c:pt idx="10">
                  <c:v>53600</c:v>
                </c:pt>
                <c:pt idx="11">
                  <c:v>54597</c:v>
                </c:pt>
                <c:pt idx="12">
                  <c:v>45862</c:v>
                </c:pt>
                <c:pt idx="13">
                  <c:v>81911</c:v>
                </c:pt>
                <c:pt idx="14">
                  <c:v>42259</c:v>
                </c:pt>
                <c:pt idx="15">
                  <c:v>41830</c:v>
                </c:pt>
                <c:pt idx="16">
                  <c:v>22891</c:v>
                </c:pt>
                <c:pt idx="17">
                  <c:v>23139</c:v>
                </c:pt>
                <c:pt idx="18">
                  <c:v>23164</c:v>
                </c:pt>
                <c:pt idx="19">
                  <c:v>23195</c:v>
                </c:pt>
                <c:pt idx="20">
                  <c:v>23164</c:v>
                </c:pt>
                <c:pt idx="21">
                  <c:v>47518</c:v>
                </c:pt>
                <c:pt idx="22">
                  <c:v>47301</c:v>
                </c:pt>
                <c:pt idx="23">
                  <c:v>19580</c:v>
                </c:pt>
                <c:pt idx="24">
                  <c:v>45000</c:v>
                </c:pt>
                <c:pt idx="25">
                  <c:v>45001</c:v>
                </c:pt>
                <c:pt idx="26">
                  <c:v>44999</c:v>
                </c:pt>
                <c:pt idx="27">
                  <c:v>53643</c:v>
                </c:pt>
                <c:pt idx="28">
                  <c:v>49972</c:v>
                </c:pt>
                <c:pt idx="29">
                  <c:v>49972</c:v>
                </c:pt>
                <c:pt idx="30">
                  <c:v>50005</c:v>
                </c:pt>
                <c:pt idx="31">
                  <c:v>49971</c:v>
                </c:pt>
                <c:pt idx="32">
                  <c:v>49972</c:v>
                </c:pt>
                <c:pt idx="33">
                  <c:v>44353</c:v>
                </c:pt>
              </c:numCache>
            </c:numRef>
          </c:xVal>
          <c:yVal>
            <c:numRef>
              <c:f>Feuil1archive!$O$2:$O$35</c:f>
              <c:numCache>
                <c:formatCode>General</c:formatCode>
                <c:ptCount val="34"/>
                <c:pt idx="0">
                  <c:v>404</c:v>
                </c:pt>
                <c:pt idx="1">
                  <c:v>113.5</c:v>
                </c:pt>
                <c:pt idx="2">
                  <c:v>2017</c:v>
                </c:pt>
                <c:pt idx="3">
                  <c:v>1006</c:v>
                </c:pt>
                <c:pt idx="4">
                  <c:v>420</c:v>
                </c:pt>
                <c:pt idx="5">
                  <c:v>1</c:v>
                </c:pt>
                <c:pt idx="6">
                  <c:v>1072</c:v>
                </c:pt>
                <c:pt idx="7">
                  <c:v>1066</c:v>
                </c:pt>
                <c:pt idx="8">
                  <c:v>1049</c:v>
                </c:pt>
                <c:pt idx="9">
                  <c:v>1046</c:v>
                </c:pt>
                <c:pt idx="10">
                  <c:v>832</c:v>
                </c:pt>
                <c:pt idx="11">
                  <c:v>1</c:v>
                </c:pt>
                <c:pt idx="12">
                  <c:v>369</c:v>
                </c:pt>
                <c:pt idx="13">
                  <c:v>1168</c:v>
                </c:pt>
                <c:pt idx="14">
                  <c:v>286</c:v>
                </c:pt>
                <c:pt idx="15">
                  <c:v>265</c:v>
                </c:pt>
                <c:pt idx="16">
                  <c:v>210</c:v>
                </c:pt>
                <c:pt idx="17">
                  <c:v>219</c:v>
                </c:pt>
                <c:pt idx="18">
                  <c:v>210</c:v>
                </c:pt>
                <c:pt idx="19">
                  <c:v>219</c:v>
                </c:pt>
                <c:pt idx="20">
                  <c:v>210</c:v>
                </c:pt>
                <c:pt idx="21">
                  <c:v>286</c:v>
                </c:pt>
                <c:pt idx="22">
                  <c:v>286</c:v>
                </c:pt>
                <c:pt idx="23">
                  <c:v>800</c:v>
                </c:pt>
                <c:pt idx="24">
                  <c:v>1207</c:v>
                </c:pt>
                <c:pt idx="25">
                  <c:v>1192</c:v>
                </c:pt>
                <c:pt idx="26">
                  <c:v>1192</c:v>
                </c:pt>
                <c:pt idx="27">
                  <c:v>369</c:v>
                </c:pt>
                <c:pt idx="28">
                  <c:v>336</c:v>
                </c:pt>
                <c:pt idx="29">
                  <c:v>336</c:v>
                </c:pt>
                <c:pt idx="30">
                  <c:v>336</c:v>
                </c:pt>
                <c:pt idx="31">
                  <c:v>336</c:v>
                </c:pt>
                <c:pt idx="32">
                  <c:v>336</c:v>
                </c:pt>
                <c:pt idx="33">
                  <c:v>1040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C1-4128-A65F-A03ABF094D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3453680"/>
        <c:axId val="1883455120"/>
      </c:scatterChart>
      <c:valAx>
        <c:axId val="1883453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83455120"/>
        <c:crosses val="autoZero"/>
        <c:crossBetween val="midCat"/>
      </c:valAx>
      <c:valAx>
        <c:axId val="188345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83453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Other(md)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564801848748497"/>
          <c:y val="0.17585410895660208"/>
          <c:w val="0.8397080831368382"/>
          <c:h val="0.72203015828007644"/>
        </c:manualLayout>
      </c:layout>
      <c:scatterChart>
        <c:scatterStyle val="lineMarker"/>
        <c:varyColors val="0"/>
        <c:ser>
          <c:idx val="0"/>
          <c:order val="0"/>
          <c:tx>
            <c:strRef>
              <c:f>Feuil1archive!$P$2:$P$34</c:f>
              <c:strCache>
                <c:ptCount val="33"/>
                <c:pt idx="0">
                  <c:v>619</c:v>
                </c:pt>
                <c:pt idx="1">
                  <c:v>56</c:v>
                </c:pt>
                <c:pt idx="2">
                  <c:v>455</c:v>
                </c:pt>
                <c:pt idx="3">
                  <c:v>455</c:v>
                </c:pt>
                <c:pt idx="4">
                  <c:v>3263</c:v>
                </c:pt>
                <c:pt idx="5">
                  <c:v>265</c:v>
                </c:pt>
                <c:pt idx="6">
                  <c:v>3341</c:v>
                </c:pt>
                <c:pt idx="7">
                  <c:v>3306</c:v>
                </c:pt>
                <c:pt idx="8">
                  <c:v>2775</c:v>
                </c:pt>
                <c:pt idx="9">
                  <c:v>2747</c:v>
                </c:pt>
                <c:pt idx="10">
                  <c:v>1426</c:v>
                </c:pt>
                <c:pt idx="11">
                  <c:v>1116</c:v>
                </c:pt>
                <c:pt idx="12">
                  <c:v>2251</c:v>
                </c:pt>
                <c:pt idx="13">
                  <c:v>2429</c:v>
                </c:pt>
                <c:pt idx="14">
                  <c:v>1397</c:v>
                </c:pt>
                <c:pt idx="15">
                  <c:v>2739</c:v>
                </c:pt>
                <c:pt idx="16">
                  <c:v>933</c:v>
                </c:pt>
                <c:pt idx="17">
                  <c:v>1692</c:v>
                </c:pt>
                <c:pt idx="18">
                  <c:v>933</c:v>
                </c:pt>
                <c:pt idx="19">
                  <c:v>1692</c:v>
                </c:pt>
                <c:pt idx="20">
                  <c:v>933</c:v>
                </c:pt>
                <c:pt idx="21">
                  <c:v>1400</c:v>
                </c:pt>
                <c:pt idx="22">
                  <c:v>1400</c:v>
                </c:pt>
                <c:pt idx="23">
                  <c:v>2380</c:v>
                </c:pt>
                <c:pt idx="24">
                  <c:v>2918</c:v>
                </c:pt>
                <c:pt idx="25">
                  <c:v>2769</c:v>
                </c:pt>
                <c:pt idx="26">
                  <c:v>2417</c:v>
                </c:pt>
                <c:pt idx="27">
                  <c:v>2251</c:v>
                </c:pt>
                <c:pt idx="28">
                  <c:v>4100</c:v>
                </c:pt>
                <c:pt idx="29">
                  <c:v>4100</c:v>
                </c:pt>
                <c:pt idx="30">
                  <c:v>2891</c:v>
                </c:pt>
                <c:pt idx="31">
                  <c:v>3595</c:v>
                </c:pt>
                <c:pt idx="32">
                  <c:v>3279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0.17499275801227199"/>
                  <c:y val="-0.1758540780851078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Feuil1archive!$C$2:$C$35</c:f>
              <c:numCache>
                <c:formatCode>General</c:formatCode>
                <c:ptCount val="34"/>
                <c:pt idx="0">
                  <c:v>2373</c:v>
                </c:pt>
                <c:pt idx="1">
                  <c:v>1171.9000000000001</c:v>
                </c:pt>
                <c:pt idx="2">
                  <c:v>9823</c:v>
                </c:pt>
                <c:pt idx="3">
                  <c:v>7899</c:v>
                </c:pt>
                <c:pt idx="4">
                  <c:v>12992</c:v>
                </c:pt>
                <c:pt idx="5">
                  <c:v>5858</c:v>
                </c:pt>
                <c:pt idx="6">
                  <c:v>11508</c:v>
                </c:pt>
                <c:pt idx="7">
                  <c:v>11334</c:v>
                </c:pt>
                <c:pt idx="8">
                  <c:v>9167</c:v>
                </c:pt>
                <c:pt idx="9">
                  <c:v>9077</c:v>
                </c:pt>
                <c:pt idx="10">
                  <c:v>8775</c:v>
                </c:pt>
                <c:pt idx="11">
                  <c:v>6692</c:v>
                </c:pt>
                <c:pt idx="12">
                  <c:v>7655</c:v>
                </c:pt>
                <c:pt idx="13">
                  <c:v>9874</c:v>
                </c:pt>
                <c:pt idx="14">
                  <c:v>5472</c:v>
                </c:pt>
                <c:pt idx="15">
                  <c:v>7684</c:v>
                </c:pt>
                <c:pt idx="16">
                  <c:v>3106</c:v>
                </c:pt>
                <c:pt idx="17">
                  <c:v>4532</c:v>
                </c:pt>
                <c:pt idx="18">
                  <c:v>3106</c:v>
                </c:pt>
                <c:pt idx="19">
                  <c:v>4532</c:v>
                </c:pt>
                <c:pt idx="20">
                  <c:v>3106</c:v>
                </c:pt>
                <c:pt idx="21">
                  <c:v>5492</c:v>
                </c:pt>
                <c:pt idx="22">
                  <c:v>5492</c:v>
                </c:pt>
                <c:pt idx="23">
                  <c:v>6630</c:v>
                </c:pt>
                <c:pt idx="24">
                  <c:v>10447</c:v>
                </c:pt>
                <c:pt idx="25">
                  <c:v>10615</c:v>
                </c:pt>
                <c:pt idx="26">
                  <c:v>10337</c:v>
                </c:pt>
                <c:pt idx="27">
                  <c:v>8272</c:v>
                </c:pt>
                <c:pt idx="28">
                  <c:v>15331</c:v>
                </c:pt>
                <c:pt idx="29">
                  <c:v>15119</c:v>
                </c:pt>
                <c:pt idx="30">
                  <c:v>16020</c:v>
                </c:pt>
                <c:pt idx="31">
                  <c:v>11020</c:v>
                </c:pt>
                <c:pt idx="32">
                  <c:v>10426</c:v>
                </c:pt>
                <c:pt idx="33">
                  <c:v>11486</c:v>
                </c:pt>
              </c:numCache>
            </c:numRef>
          </c:xVal>
          <c:yVal>
            <c:numRef>
              <c:f>Feuil1archive!$P$2:$P$35</c:f>
              <c:numCache>
                <c:formatCode>General</c:formatCode>
                <c:ptCount val="34"/>
                <c:pt idx="0">
                  <c:v>619</c:v>
                </c:pt>
                <c:pt idx="1">
                  <c:v>56</c:v>
                </c:pt>
                <c:pt idx="2">
                  <c:v>455</c:v>
                </c:pt>
                <c:pt idx="3">
                  <c:v>455</c:v>
                </c:pt>
                <c:pt idx="4">
                  <c:v>3263</c:v>
                </c:pt>
                <c:pt idx="5">
                  <c:v>265</c:v>
                </c:pt>
                <c:pt idx="6">
                  <c:v>3341</c:v>
                </c:pt>
                <c:pt idx="7">
                  <c:v>3306</c:v>
                </c:pt>
                <c:pt idx="8">
                  <c:v>2775</c:v>
                </c:pt>
                <c:pt idx="9">
                  <c:v>2747</c:v>
                </c:pt>
                <c:pt idx="10">
                  <c:v>1426</c:v>
                </c:pt>
                <c:pt idx="11">
                  <c:v>1116</c:v>
                </c:pt>
                <c:pt idx="12">
                  <c:v>2251</c:v>
                </c:pt>
                <c:pt idx="13">
                  <c:v>2429</c:v>
                </c:pt>
                <c:pt idx="14">
                  <c:v>1397</c:v>
                </c:pt>
                <c:pt idx="15">
                  <c:v>2739</c:v>
                </c:pt>
                <c:pt idx="16">
                  <c:v>933</c:v>
                </c:pt>
                <c:pt idx="17">
                  <c:v>1692</c:v>
                </c:pt>
                <c:pt idx="18">
                  <c:v>933</c:v>
                </c:pt>
                <c:pt idx="19">
                  <c:v>1692</c:v>
                </c:pt>
                <c:pt idx="20">
                  <c:v>933</c:v>
                </c:pt>
                <c:pt idx="21">
                  <c:v>1400</c:v>
                </c:pt>
                <c:pt idx="22">
                  <c:v>1400</c:v>
                </c:pt>
                <c:pt idx="23">
                  <c:v>2380</c:v>
                </c:pt>
                <c:pt idx="24">
                  <c:v>2918</c:v>
                </c:pt>
                <c:pt idx="25">
                  <c:v>2769</c:v>
                </c:pt>
                <c:pt idx="26">
                  <c:v>2417</c:v>
                </c:pt>
                <c:pt idx="27">
                  <c:v>2251</c:v>
                </c:pt>
                <c:pt idx="28">
                  <c:v>4100</c:v>
                </c:pt>
                <c:pt idx="29">
                  <c:v>4100</c:v>
                </c:pt>
                <c:pt idx="30">
                  <c:v>2891</c:v>
                </c:pt>
                <c:pt idx="31">
                  <c:v>3595</c:v>
                </c:pt>
                <c:pt idx="32">
                  <c:v>3279</c:v>
                </c:pt>
                <c:pt idx="33">
                  <c:v>1329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60-4584-A2FB-2EA8A52F1A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3453680"/>
        <c:axId val="1883455120"/>
      </c:scatterChart>
      <c:valAx>
        <c:axId val="1883453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83455120"/>
        <c:crosses val="autoZero"/>
        <c:crossBetween val="midCat"/>
      </c:valAx>
      <c:valAx>
        <c:axId val="188345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83453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8.0402282539725575E-2"/>
                  <c:y val="-0.4053296797019869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Feuil1archive!$D$2:$D$35</c:f>
              <c:numCache>
                <c:formatCode>General</c:formatCode>
                <c:ptCount val="34"/>
                <c:pt idx="0">
                  <c:v>5294</c:v>
                </c:pt>
                <c:pt idx="1">
                  <c:v>502.1</c:v>
                </c:pt>
                <c:pt idx="2">
                  <c:v>25000</c:v>
                </c:pt>
                <c:pt idx="3">
                  <c:v>25000</c:v>
                </c:pt>
                <c:pt idx="4">
                  <c:v>35894</c:v>
                </c:pt>
                <c:pt idx="5">
                  <c:v>16461</c:v>
                </c:pt>
                <c:pt idx="6">
                  <c:v>23941</c:v>
                </c:pt>
                <c:pt idx="7">
                  <c:v>21822</c:v>
                </c:pt>
                <c:pt idx="8">
                  <c:v>17488</c:v>
                </c:pt>
                <c:pt idx="9">
                  <c:v>16414</c:v>
                </c:pt>
                <c:pt idx="10">
                  <c:v>20862</c:v>
                </c:pt>
                <c:pt idx="11">
                  <c:v>18325</c:v>
                </c:pt>
                <c:pt idx="12">
                  <c:v>13102</c:v>
                </c:pt>
                <c:pt idx="13">
                  <c:v>42268</c:v>
                </c:pt>
                <c:pt idx="14">
                  <c:v>9345</c:v>
                </c:pt>
                <c:pt idx="15">
                  <c:v>9402</c:v>
                </c:pt>
                <c:pt idx="16">
                  <c:v>9327</c:v>
                </c:pt>
                <c:pt idx="17">
                  <c:v>9257</c:v>
                </c:pt>
                <c:pt idx="18">
                  <c:v>9600</c:v>
                </c:pt>
                <c:pt idx="19">
                  <c:v>9313</c:v>
                </c:pt>
                <c:pt idx="20">
                  <c:v>9600</c:v>
                </c:pt>
                <c:pt idx="21">
                  <c:v>14451</c:v>
                </c:pt>
                <c:pt idx="22">
                  <c:v>14234</c:v>
                </c:pt>
                <c:pt idx="23">
                  <c:v>6050</c:v>
                </c:pt>
                <c:pt idx="24">
                  <c:v>9847</c:v>
                </c:pt>
                <c:pt idx="25">
                  <c:v>9680</c:v>
                </c:pt>
                <c:pt idx="26">
                  <c:v>9956</c:v>
                </c:pt>
                <c:pt idx="27">
                  <c:v>19000</c:v>
                </c:pt>
                <c:pt idx="28">
                  <c:v>6598</c:v>
                </c:pt>
                <c:pt idx="29">
                  <c:v>6810</c:v>
                </c:pt>
                <c:pt idx="30">
                  <c:v>5942</c:v>
                </c:pt>
                <c:pt idx="31">
                  <c:v>10908</c:v>
                </c:pt>
                <c:pt idx="32">
                  <c:v>11503</c:v>
                </c:pt>
                <c:pt idx="33">
                  <c:v>6685</c:v>
                </c:pt>
              </c:numCache>
            </c:numRef>
          </c:xVal>
          <c:yVal>
            <c:numRef>
              <c:f>Feuil1archive!$C$2:$C$35</c:f>
              <c:numCache>
                <c:formatCode>General</c:formatCode>
                <c:ptCount val="34"/>
                <c:pt idx="0">
                  <c:v>2373</c:v>
                </c:pt>
                <c:pt idx="1">
                  <c:v>1171.9000000000001</c:v>
                </c:pt>
                <c:pt idx="2">
                  <c:v>9823</c:v>
                </c:pt>
                <c:pt idx="3">
                  <c:v>7899</c:v>
                </c:pt>
                <c:pt idx="4">
                  <c:v>12992</c:v>
                </c:pt>
                <c:pt idx="5">
                  <c:v>5858</c:v>
                </c:pt>
                <c:pt idx="6">
                  <c:v>11508</c:v>
                </c:pt>
                <c:pt idx="7">
                  <c:v>11334</c:v>
                </c:pt>
                <c:pt idx="8">
                  <c:v>9167</c:v>
                </c:pt>
                <c:pt idx="9">
                  <c:v>9077</c:v>
                </c:pt>
                <c:pt idx="10">
                  <c:v>8775</c:v>
                </c:pt>
                <c:pt idx="11">
                  <c:v>6692</c:v>
                </c:pt>
                <c:pt idx="12">
                  <c:v>7655</c:v>
                </c:pt>
                <c:pt idx="13">
                  <c:v>9874</c:v>
                </c:pt>
                <c:pt idx="14">
                  <c:v>5472</c:v>
                </c:pt>
                <c:pt idx="15">
                  <c:v>7684</c:v>
                </c:pt>
                <c:pt idx="16">
                  <c:v>3106</c:v>
                </c:pt>
                <c:pt idx="17">
                  <c:v>4532</c:v>
                </c:pt>
                <c:pt idx="18">
                  <c:v>3106</c:v>
                </c:pt>
                <c:pt idx="19">
                  <c:v>4532</c:v>
                </c:pt>
                <c:pt idx="20">
                  <c:v>3106</c:v>
                </c:pt>
                <c:pt idx="21">
                  <c:v>5492</c:v>
                </c:pt>
                <c:pt idx="22">
                  <c:v>5492</c:v>
                </c:pt>
                <c:pt idx="23">
                  <c:v>6630</c:v>
                </c:pt>
                <c:pt idx="24">
                  <c:v>10447</c:v>
                </c:pt>
                <c:pt idx="25">
                  <c:v>10615</c:v>
                </c:pt>
                <c:pt idx="26">
                  <c:v>10337</c:v>
                </c:pt>
                <c:pt idx="27">
                  <c:v>8272</c:v>
                </c:pt>
                <c:pt idx="28">
                  <c:v>15331</c:v>
                </c:pt>
                <c:pt idx="29">
                  <c:v>15119</c:v>
                </c:pt>
                <c:pt idx="30">
                  <c:v>16020</c:v>
                </c:pt>
                <c:pt idx="31">
                  <c:v>11020</c:v>
                </c:pt>
                <c:pt idx="32">
                  <c:v>10426</c:v>
                </c:pt>
                <c:pt idx="33">
                  <c:v>11486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6B-4789-ACEB-64C8E1AE1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22384"/>
        <c:axId val="38824304"/>
      </c:scatterChart>
      <c:valAx>
        <c:axId val="38822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824304"/>
        <c:crosses val="autoZero"/>
        <c:crossBetween val="midCat"/>
      </c:valAx>
      <c:valAx>
        <c:axId val="3882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822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total mass spreads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fr-F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total mass spreads</a:t>
          </a:r>
        </a:p>
      </cx:txPr>
    </cx:title>
    <cx:plotArea>
      <cx:plotAreaRegion>
        <cx:series layoutId="clusteredColumn" uniqueId="{00000001-A623-4CA9-874E-DADECEAF5388}">
          <cx:tx>
            <cx:txData>
              <cx:f/>
              <cx:v>total masses</cx:v>
            </cx:txData>
          </cx:tx>
          <cx:dataId val="0"/>
          <cx:layoutPr>
            <cx:binning intervalClosed="r">
              <cx:binCount val="8"/>
            </cx:binning>
          </cx:layoutPr>
        </cx:series>
      </cx:plotAreaRegion>
      <cx:axis id="0">
        <cx:catScaling gapWidth="0"/>
        <cx:tickLabels/>
        <cx:numFmt formatCode="#,##0" sourceLinked="0"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structural mass spreads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fr-F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structural mass spreads</a:t>
          </a:r>
        </a:p>
      </cx:txPr>
    </cx:title>
    <cx:plotArea>
      <cx:plotAreaRegion>
        <cx:series layoutId="clusteredColumn" uniqueId="{00000001-A623-4CA9-874E-DADECEAF5388}">
          <cx:tx>
            <cx:txData>
              <cx:f/>
              <cx:v>total masses</cx:v>
            </cx:txData>
          </cx:tx>
          <cx:dataId val="0"/>
          <cx:layoutPr>
            <cx:binning intervalClosed="r">
              <cx:binCount val="8"/>
            </cx:binning>
          </cx:layoutPr>
        </cx:series>
      </cx:plotAreaRegion>
      <cx:axis id="0">
        <cx:catScaling gapWidth="0"/>
        <cx:tickLabels/>
        <cx:numFmt formatCode="#,##0" sourceLinked="0"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Propulsion mass spreads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fr-F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Propulsion mass spreads</a:t>
          </a:r>
        </a:p>
      </cx:txPr>
    </cx:title>
    <cx:plotArea>
      <cx:plotAreaRegion>
        <cx:series layoutId="clusteredColumn" uniqueId="{00000001-A623-4CA9-874E-DADECEAF5388}">
          <cx:tx>
            <cx:txData>
              <cx:f/>
              <cx:v>total masses</cx:v>
            </cx:txData>
          </cx:tx>
          <cx:dataId val="0"/>
          <cx:layoutPr>
            <cx:binning intervalClosed="r">
              <cx:binCount val="8"/>
            </cx:binning>
          </cx:layoutPr>
        </cx:series>
      </cx:plotAreaRegion>
      <cx:axis id="0">
        <cx:catScaling gapWidth="0"/>
        <cx:tickLabels/>
        <cx:numFmt formatCode="#,##0" sourceLinked="0"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>
      <cx:tx>
        <cx:txData>
          <cx:v>Power mass spreads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fr-F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Power mass spreads</a:t>
          </a:r>
        </a:p>
      </cx:txPr>
    </cx:title>
    <cx:plotArea>
      <cx:plotAreaRegion>
        <cx:series layoutId="clusteredColumn" uniqueId="{00000001-A623-4CA9-874E-DADECEAF5388}">
          <cx:tx>
            <cx:txData>
              <cx:f/>
              <cx:v>total masses</cx:v>
            </cx:txData>
          </cx:tx>
          <cx:dataId val="0"/>
          <cx:layoutPr>
            <cx:binning intervalClosed="r">
              <cx:binCount val="8"/>
            </cx:binning>
          </cx:layoutPr>
        </cx:series>
      </cx:plotAreaRegion>
      <cx:axis id="0">
        <cx:catScaling gapWidth="0"/>
        <cx:tickLabels/>
        <cx:numFmt formatCode="#,##0" sourceLinked="0"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Avionics mass spreads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fr-F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Avionics mass spreads</a:t>
          </a:r>
        </a:p>
      </cx:txPr>
    </cx:title>
    <cx:plotArea>
      <cx:plotAreaRegion>
        <cx:series layoutId="clusteredColumn" uniqueId="{00000001-A623-4CA9-874E-DADECEAF5388}">
          <cx:tx>
            <cx:txData>
              <cx:f/>
              <cx:v>total masses</cx:v>
            </cx:txData>
          </cx:tx>
          <cx:dataId val="0"/>
          <cx:layoutPr>
            <cx:binning intervalClosed="r">
              <cx:binCount val="8"/>
            </cx:binning>
          </cx:layoutPr>
        </cx:series>
      </cx:plotAreaRegion>
      <cx:axis id="0">
        <cx:catScaling gapWidth="0"/>
        <cx:tickLabels/>
        <cx:numFmt formatCode="#,##0" sourceLinked="0"/>
      </cx:axis>
      <cx:axis id="1">
        <cx:valScaling/>
        <cx:majorGridlines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Thermal mass spreads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fr-F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Thermal mass spreads</a:t>
          </a:r>
        </a:p>
      </cx:txPr>
    </cx:title>
    <cx:plotArea>
      <cx:plotAreaRegion>
        <cx:series layoutId="clusteredColumn" uniqueId="{00000001-A623-4CA9-874E-DADECEAF5388}">
          <cx:tx>
            <cx:txData>
              <cx:f/>
              <cx:v>total masses</cx:v>
            </cx:txData>
          </cx:tx>
          <cx:dataId val="0"/>
          <cx:layoutPr>
            <cx:binning intervalClosed="r">
              <cx:binCount val="8"/>
            </cx:binning>
          </cx:layoutPr>
        </cx:series>
      </cx:plotAreaRegion>
      <cx:axis id="0">
        <cx:catScaling gapWidth="0"/>
        <cx:tickLabels/>
        <cx:numFmt formatCode="#,##0" sourceLinked="0"/>
      </cx:axis>
      <cx:axis id="1">
        <cx:valScaling/>
        <cx:majorGridlines/>
        <cx:tickLabels/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</cx:f>
      </cx:numDim>
    </cx:data>
  </cx:chartData>
  <cx:chart>
    <cx:title pos="t" align="ctr" overlay="0">
      <cx:tx>
        <cx:txData>
          <cx:v>structural mass / inert mass spreads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fr-F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structural mass / inert mass spreads</a:t>
          </a:r>
        </a:p>
      </cx:txPr>
    </cx:title>
    <cx:plotArea>
      <cx:plotAreaRegion>
        <cx:series layoutId="clusteredColumn" uniqueId="{00000001-A623-4CA9-874E-DADECEAF5388}">
          <cx:tx>
            <cx:txData>
              <cx:f/>
              <cx:v>total masses</cx:v>
            </cx:txData>
          </cx:tx>
          <cx:dataId val="0"/>
          <cx:layoutPr>
            <cx:binning intervalClosed="r">
              <cx:binCount val="9"/>
            </cx:binning>
          </cx:layoutPr>
        </cx:series>
      </cx:plotAreaRegion>
      <cx:axis id="0">
        <cx:catScaling gapWidth="0"/>
        <cx:tickLabels/>
        <cx:numFmt formatCode="0%" sourceLinked="0"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microsoft.com/office/2014/relationships/chartEx" Target="../charts/chartEx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microsoft.com/office/2014/relationships/chartEx" Target="../charts/chartEx2.xml"/><Relationship Id="rId17" Type="http://schemas.microsoft.com/office/2014/relationships/chartEx" Target="../charts/chartEx7.xml"/><Relationship Id="rId2" Type="http://schemas.openxmlformats.org/officeDocument/2006/relationships/chart" Target="../charts/chart2.xml"/><Relationship Id="rId16" Type="http://schemas.microsoft.com/office/2014/relationships/chartEx" Target="../charts/chartEx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microsoft.com/office/2014/relationships/chartEx" Target="../charts/chartEx1.xml"/><Relationship Id="rId5" Type="http://schemas.openxmlformats.org/officeDocument/2006/relationships/chart" Target="../charts/chart5.xml"/><Relationship Id="rId15" Type="http://schemas.microsoft.com/office/2014/relationships/chartEx" Target="../charts/chartEx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195320</xdr:colOff>
      <xdr:row>36</xdr:row>
      <xdr:rowOff>12553</xdr:rowOff>
    </xdr:from>
    <xdr:to>
      <xdr:col>6</xdr:col>
      <xdr:colOff>653457</xdr:colOff>
      <xdr:row>51</xdr:row>
      <xdr:rowOff>50017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B63D3629-3273-873A-EA9D-2049A6BA0D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53</xdr:row>
      <xdr:rowOff>114300</xdr:rowOff>
    </xdr:from>
    <xdr:to>
      <xdr:col>6</xdr:col>
      <xdr:colOff>672465</xdr:colOff>
      <xdr:row>68</xdr:row>
      <xdr:rowOff>139065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A9C6D180-D0A1-41BE-8946-4EC2BF051C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28575</xdr:colOff>
      <xdr:row>36</xdr:row>
      <xdr:rowOff>66675</xdr:rowOff>
    </xdr:from>
    <xdr:to>
      <xdr:col>13</xdr:col>
      <xdr:colOff>114300</xdr:colOff>
      <xdr:row>51</xdr:row>
      <xdr:rowOff>87630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E46E5C16-1F20-4697-8FF5-A3DE152711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53</xdr:row>
      <xdr:rowOff>0</xdr:rowOff>
    </xdr:from>
    <xdr:to>
      <xdr:col>13</xdr:col>
      <xdr:colOff>89535</xdr:colOff>
      <xdr:row>68</xdr:row>
      <xdr:rowOff>32385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53CCDFB0-8E1D-4C78-A210-012D4F3885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211455</xdr:colOff>
      <xdr:row>70</xdr:row>
      <xdr:rowOff>102870</xdr:rowOff>
    </xdr:from>
    <xdr:to>
      <xdr:col>6</xdr:col>
      <xdr:colOff>678180</xdr:colOff>
      <xdr:row>85</xdr:row>
      <xdr:rowOff>135255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EC6DADDB-27B6-45A0-87D2-24C8F7DB09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85725</xdr:colOff>
      <xdr:row>70</xdr:row>
      <xdr:rowOff>125730</xdr:rowOff>
    </xdr:from>
    <xdr:to>
      <xdr:col>13</xdr:col>
      <xdr:colOff>186690</xdr:colOff>
      <xdr:row>85</xdr:row>
      <xdr:rowOff>142875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0832CB65-7B39-4AAB-A1CF-F4B92B6E98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230505</xdr:colOff>
      <xdr:row>88</xdr:row>
      <xdr:rowOff>19050</xdr:rowOff>
    </xdr:from>
    <xdr:to>
      <xdr:col>6</xdr:col>
      <xdr:colOff>693420</xdr:colOff>
      <xdr:row>103</xdr:row>
      <xdr:rowOff>28575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1D3677FC-9433-4D5B-88EF-DDF48FB1D8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363855</xdr:colOff>
      <xdr:row>87</xdr:row>
      <xdr:rowOff>152400</xdr:rowOff>
    </xdr:from>
    <xdr:to>
      <xdr:col>13</xdr:col>
      <xdr:colOff>449580</xdr:colOff>
      <xdr:row>102</xdr:row>
      <xdr:rowOff>161925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FC516211-A037-4D70-A06C-6EFDB38A7C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0</xdr:colOff>
      <xdr:row>104</xdr:row>
      <xdr:rowOff>108857</xdr:rowOff>
    </xdr:from>
    <xdr:to>
      <xdr:col>6</xdr:col>
      <xdr:colOff>447403</xdr:colOff>
      <xdr:row>119</xdr:row>
      <xdr:rowOff>127907</xdr:rowOff>
    </xdr:to>
    <xdr:graphicFrame macro="">
      <xdr:nvGraphicFramePr>
        <xdr:cNvPr id="14" name="Graphique 13">
          <a:extLst>
            <a:ext uri="{FF2B5EF4-FFF2-40B4-BE49-F238E27FC236}">
              <a16:creationId xmlns:a16="http://schemas.microsoft.com/office/drawing/2014/main" id="{4F30F882-1D04-41C3-AAA4-0EA18362FC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14</xdr:col>
      <xdr:colOff>145116</xdr:colOff>
      <xdr:row>39</xdr:row>
      <xdr:rowOff>64483</xdr:rowOff>
    </xdr:from>
    <xdr:to>
      <xdr:col>20</xdr:col>
      <xdr:colOff>386689</xdr:colOff>
      <xdr:row>54</xdr:row>
      <xdr:rowOff>28287</xdr:rowOff>
    </xdr:to>
    <xdr:graphicFrame macro="">
      <xdr:nvGraphicFramePr>
        <xdr:cNvPr id="15" name="Graphique 14">
          <a:extLst>
            <a:ext uri="{FF2B5EF4-FFF2-40B4-BE49-F238E27FC236}">
              <a16:creationId xmlns:a16="http://schemas.microsoft.com/office/drawing/2014/main" id="{93818A26-DDE9-175D-CA62-CB583A0B0F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14</xdr:col>
      <xdr:colOff>54428</xdr:colOff>
      <xdr:row>55</xdr:row>
      <xdr:rowOff>73231</xdr:rowOff>
    </xdr:from>
    <xdr:to>
      <xdr:col>21</xdr:col>
      <xdr:colOff>356260</xdr:colOff>
      <xdr:row>72</xdr:row>
      <xdr:rowOff>89065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aphique 1">
              <a:extLst>
                <a:ext uri="{FF2B5EF4-FFF2-40B4-BE49-F238E27FC236}">
                  <a16:creationId xmlns:a16="http://schemas.microsoft.com/office/drawing/2014/main" id="{53D7A676-74F0-8BA2-58B1-7539D507D3A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79728" y="10146871"/>
              <a:ext cx="5430092" cy="312479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150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  <xdr:twoCellAnchor>
    <xdr:from>
      <xdr:col>14</xdr:col>
      <xdr:colOff>0</xdr:colOff>
      <xdr:row>74</xdr:row>
      <xdr:rowOff>0</xdr:rowOff>
    </xdr:from>
    <xdr:to>
      <xdr:col>21</xdr:col>
      <xdr:colOff>301832</xdr:colOff>
      <xdr:row>91</xdr:row>
      <xdr:rowOff>15835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aphique 2">
              <a:extLst>
                <a:ext uri="{FF2B5EF4-FFF2-40B4-BE49-F238E27FC236}">
                  <a16:creationId xmlns:a16="http://schemas.microsoft.com/office/drawing/2014/main" id="{175948F6-D76B-4502-8C39-23558269E18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25300" y="13548360"/>
              <a:ext cx="5430092" cy="31247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150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  <xdr:twoCellAnchor>
    <xdr:from>
      <xdr:col>14</xdr:col>
      <xdr:colOff>0</xdr:colOff>
      <xdr:row>92</xdr:row>
      <xdr:rowOff>148442</xdr:rowOff>
    </xdr:from>
    <xdr:to>
      <xdr:col>21</xdr:col>
      <xdr:colOff>301832</xdr:colOff>
      <xdr:row>109</xdr:row>
      <xdr:rowOff>164276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aphique 3">
              <a:extLst>
                <a:ext uri="{FF2B5EF4-FFF2-40B4-BE49-F238E27FC236}">
                  <a16:creationId xmlns:a16="http://schemas.microsoft.com/office/drawing/2014/main" id="{5CB2996A-326A-4F1E-AA51-C938E58A480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25300" y="16988642"/>
              <a:ext cx="5430092" cy="312479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150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  <xdr:twoCellAnchor>
    <xdr:from>
      <xdr:col>14</xdr:col>
      <xdr:colOff>0</xdr:colOff>
      <xdr:row>111</xdr:row>
      <xdr:rowOff>0</xdr:rowOff>
    </xdr:from>
    <xdr:to>
      <xdr:col>21</xdr:col>
      <xdr:colOff>301832</xdr:colOff>
      <xdr:row>128</xdr:row>
      <xdr:rowOff>15834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Graphique 5">
              <a:extLst>
                <a:ext uri="{FF2B5EF4-FFF2-40B4-BE49-F238E27FC236}">
                  <a16:creationId xmlns:a16="http://schemas.microsoft.com/office/drawing/2014/main" id="{E82F21BE-0387-4E13-B927-4785B1C360F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25300" y="20314920"/>
              <a:ext cx="5430092" cy="312479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150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  <xdr:twoCellAnchor>
    <xdr:from>
      <xdr:col>14</xdr:col>
      <xdr:colOff>0</xdr:colOff>
      <xdr:row>130</xdr:row>
      <xdr:rowOff>0</xdr:rowOff>
    </xdr:from>
    <xdr:to>
      <xdr:col>21</xdr:col>
      <xdr:colOff>301832</xdr:colOff>
      <xdr:row>147</xdr:row>
      <xdr:rowOff>15834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6" name="Graphique 15">
              <a:extLst>
                <a:ext uri="{FF2B5EF4-FFF2-40B4-BE49-F238E27FC236}">
                  <a16:creationId xmlns:a16="http://schemas.microsoft.com/office/drawing/2014/main" id="{885777F5-8FA6-49DD-9CB4-4F7A8A31AB7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25300" y="23789640"/>
              <a:ext cx="5430092" cy="312479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150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  <xdr:twoCellAnchor>
    <xdr:from>
      <xdr:col>14</xdr:col>
      <xdr:colOff>0</xdr:colOff>
      <xdr:row>148</xdr:row>
      <xdr:rowOff>0</xdr:rowOff>
    </xdr:from>
    <xdr:to>
      <xdr:col>21</xdr:col>
      <xdr:colOff>301832</xdr:colOff>
      <xdr:row>165</xdr:row>
      <xdr:rowOff>15834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7" name="Graphique 16">
              <a:extLst>
                <a:ext uri="{FF2B5EF4-FFF2-40B4-BE49-F238E27FC236}">
                  <a16:creationId xmlns:a16="http://schemas.microsoft.com/office/drawing/2014/main" id="{307B0654-C6C6-4231-A842-F18C1D0578D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25300" y="27081480"/>
              <a:ext cx="5430092" cy="312479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150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  <xdr:twoCellAnchor>
    <xdr:from>
      <xdr:col>22</xdr:col>
      <xdr:colOff>0</xdr:colOff>
      <xdr:row>74</xdr:row>
      <xdr:rowOff>0</xdr:rowOff>
    </xdr:from>
    <xdr:to>
      <xdr:col>28</xdr:col>
      <xdr:colOff>689759</xdr:colOff>
      <xdr:row>91</xdr:row>
      <xdr:rowOff>15835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8" name="Graphique 17">
              <a:extLst>
                <a:ext uri="{FF2B5EF4-FFF2-40B4-BE49-F238E27FC236}">
                  <a16:creationId xmlns:a16="http://schemas.microsoft.com/office/drawing/2014/main" id="{D2DCC28E-3BB3-4985-AB9D-32A82C70041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846040" y="13548360"/>
              <a:ext cx="5475119" cy="31247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150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B372F-B6E8-4845-B0EA-74D8461302A1}">
  <dimension ref="A1:O34"/>
  <sheetViews>
    <sheetView tabSelected="1" zoomScale="70" zoomScaleNormal="70" workbookViewId="0">
      <selection activeCell="L31" sqref="L31"/>
    </sheetView>
  </sheetViews>
  <sheetFormatPr baseColWidth="10" defaultRowHeight="14.4" x14ac:dyDescent="0.3"/>
  <cols>
    <col min="1" max="1" width="19.5546875" bestFit="1" customWidth="1"/>
    <col min="13" max="13" width="16.33203125" bestFit="1" customWidth="1"/>
  </cols>
  <sheetData>
    <row r="1" spans="1:15" ht="15" thickBot="1" x14ac:dyDescent="0.35">
      <c r="A1" s="21" t="s">
        <v>21</v>
      </c>
      <c r="B1" s="3" t="s">
        <v>26</v>
      </c>
      <c r="C1" s="3" t="s">
        <v>0</v>
      </c>
      <c r="D1" s="3" t="s">
        <v>1</v>
      </c>
      <c r="E1" s="3" t="s">
        <v>2</v>
      </c>
      <c r="F1" s="3" t="s">
        <v>32</v>
      </c>
      <c r="G1" s="3" t="s">
        <v>3</v>
      </c>
      <c r="H1" s="3" t="s">
        <v>4</v>
      </c>
      <c r="I1" s="2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5" t="s">
        <v>11</v>
      </c>
    </row>
    <row r="2" spans="1:15" x14ac:dyDescent="0.3">
      <c r="A2" s="22" t="s">
        <v>12</v>
      </c>
      <c r="B2" s="1">
        <f>((Feuil1archive!B2-MIN(Feuil1archive!B$2:B$35))/(MAX(Feuil1archive!B$2:B$35) - MIN(Feuil1archive!B$2:B$35)))</f>
        <v>0.12676821396752669</v>
      </c>
      <c r="C2" s="1">
        <f>((Feuil1archive!C2-MIN(Feuil1archive!C$2:C$35))/(MAX(Feuil1archive!C$2:C$35) - MIN(Feuil1archive!C$2:C$35)))</f>
        <v>8.089250476491941E-2</v>
      </c>
      <c r="D2" s="1">
        <f>((Feuil1archive!D2-MIN(Feuil1archive!D$2:D$35))/(MAX(Feuil1archive!D$2:D$35) - MIN(Feuil1archive!D$2:D$35)))</f>
        <v>0.11473235342707806</v>
      </c>
      <c r="E2" s="1">
        <f>((Feuil1archive!E2-MIN(Feuil1archive!E$2:E$35))/(MAX(Feuil1archive!E$2:E$35) - MIN(Feuil1archive!E$2:E$35)))</f>
        <v>0.12657160229880546</v>
      </c>
      <c r="F2" s="1">
        <f>((Feuil1archive!G2-MIN(Feuil1archive!G$2:G$35))/(MAX(Feuil1archive!G$2:G$35) - MIN(Feuil1archive!G$2:G$35)))</f>
        <v>0.11874851390980423</v>
      </c>
      <c r="G2" s="1">
        <f>((Feuil1archive!H2-MIN(Feuil1archive!H$2:H$35))/(MAX(Feuil1archive!H$2:H$35) - MIN(Feuil1archive!H$2:H$35)))</f>
        <v>0.20338389433389339</v>
      </c>
      <c r="H2" s="1">
        <f>((Feuil1archive!J2-MIN(Feuil1archive!J$2:J$35))/(MAX(Feuil1archive!J$2:J$35) - MIN(Feuil1archive!J$2:J$35)))</f>
        <v>0</v>
      </c>
      <c r="I2" s="1">
        <f>((Feuil1archive!K2-MIN(Feuil1archive!K$2:K$35))/(MAX(Feuil1archive!K$2:K$35) - MIN(Feuil1archive!K$2:K$35)))</f>
        <v>1.4720314033366045E-3</v>
      </c>
      <c r="J2" s="1">
        <f>((Feuil1archive!L2-MIN(Feuil1archive!L$2:L$35))/(MAX(Feuil1archive!L$2:L$35) - MIN(Feuil1archive!L$2:L$35)))</f>
        <v>5.14152443549242E-2</v>
      </c>
      <c r="K2" s="1">
        <f>((Feuil1archive!M2-MIN(Feuil1archive!M$2:M$35))/(MAX(Feuil1archive!M$2:M$35) - MIN(Feuil1archive!M$2:M$35)))</f>
        <v>0.16718847839699438</v>
      </c>
      <c r="L2" s="1">
        <f>((Feuil1archive!N2-MIN(Feuil1archive!N$2:N$35))/(MAX(Feuil1archive!N$2:N$35) - MIN(Feuil1archive!N$2:N$35)))</f>
        <v>0</v>
      </c>
      <c r="M2" s="1">
        <f>((Feuil1archive!O2-MIN(Feuil1archive!O$2:O$35))/(MAX(Feuil1archive!O$2:O$35) - MIN(Feuil1archive!O$2:O$35)))</f>
        <v>0.19990079365079366</v>
      </c>
      <c r="N2" s="1">
        <f>((Feuil1archive!P2-MIN(Feuil1archive!P$2:P$35))/(MAX(Feuil1archive!P$2:P$35) - MIN(Feuil1archive!P$2:P$35)))</f>
        <v>0.13921859545004944</v>
      </c>
      <c r="O2" s="1">
        <f>((Feuil1archive!Q2-MIN(Feuil1archive!Q$2:Q$35))/(MAX(Feuil1archive!Q$2:Q$35) - MIN(Feuil1archive!Q$2:Q$35)))</f>
        <v>0</v>
      </c>
    </row>
    <row r="3" spans="1:15" x14ac:dyDescent="0.3">
      <c r="A3" s="22" t="s">
        <v>13</v>
      </c>
      <c r="B3" s="1">
        <f>((Feuil1archive!B3-MIN(Feuil1archive!B$2:B$35))/(MAX(Feuil1archive!B$2:B$35) - MIN(Feuil1archive!B$2:B$35)))</f>
        <v>0</v>
      </c>
      <c r="C3" s="1">
        <f>((Feuil1archive!C3-MIN(Feuil1archive!C$2:C$35))/(MAX(Feuil1archive!C$2:C$35) - MIN(Feuil1archive!C$2:C$35)))</f>
        <v>0</v>
      </c>
      <c r="D3" s="1">
        <f>((Feuil1archive!D3-MIN(Feuil1archive!D$2:D$35))/(MAX(Feuil1archive!D$2:D$35) - MIN(Feuil1archive!D$2:D$35)))</f>
        <v>0</v>
      </c>
      <c r="E3" s="1">
        <f>((Feuil1archive!E3-MIN(Feuil1archive!E$2:E$35))/(MAX(Feuil1archive!E$2:E$35) - MIN(Feuil1archive!E$2:E$35)))</f>
        <v>0</v>
      </c>
      <c r="F3" s="1">
        <f>((Feuil1archive!G3-MIN(Feuil1archive!G$2:G$35))/(MAX(Feuil1archive!G$2:G$35) - MIN(Feuil1archive!G$2:G$35)))</f>
        <v>0</v>
      </c>
      <c r="G3" s="1">
        <f>((Feuil1archive!H3-MIN(Feuil1archive!H$2:H$35))/(MAX(Feuil1archive!H$2:H$35) - MIN(Feuil1archive!H$2:H$35)))</f>
        <v>3.447766982306958E-2</v>
      </c>
      <c r="H3" s="1">
        <f>((Feuil1archive!J3-MIN(Feuil1archive!J$2:J$35))/(MAX(Feuil1archive!J$2:J$35) - MIN(Feuil1archive!J$2:J$35)))</f>
        <v>0.1476510067114094</v>
      </c>
      <c r="I3" s="1">
        <f>((Feuil1archive!K3-MIN(Feuil1archive!K$2:K$35))/(MAX(Feuil1archive!K$2:K$35) - MIN(Feuil1archive!K$2:K$35)))</f>
        <v>8.6849852796859698E-3</v>
      </c>
      <c r="J3" s="1">
        <f>((Feuil1archive!L3-MIN(Feuil1archive!L$2:L$35))/(MAX(Feuil1archive!L$2:L$35) - MIN(Feuil1archive!L$2:L$35)))</f>
        <v>0</v>
      </c>
      <c r="K3" s="1">
        <f>((Feuil1archive!M3-MIN(Feuil1archive!M$2:M$35))/(MAX(Feuil1archive!M$2:M$35) - MIN(Feuil1archive!M$2:M$35)))</f>
        <v>0</v>
      </c>
      <c r="L3" s="1">
        <f>((Feuil1archive!N3-MIN(Feuil1archive!N$2:N$35))/(MAX(Feuil1archive!N$2:N$35) - MIN(Feuil1archive!N$2:N$35)))</f>
        <v>8.8189738625363015E-2</v>
      </c>
      <c r="M3" s="1">
        <f>((Feuil1archive!O3-MIN(Feuil1archive!O$2:O$35))/(MAX(Feuil1archive!O$2:O$35) - MIN(Feuil1archive!O$2:O$35)))</f>
        <v>5.5803571428571432E-2</v>
      </c>
      <c r="N3" s="1">
        <f>((Feuil1archive!P3-MIN(Feuil1archive!P$2:P$35))/(MAX(Feuil1archive!P$2:P$35) - MIN(Feuil1archive!P$2:P$35)))</f>
        <v>0</v>
      </c>
      <c r="O3" s="1">
        <f>((Feuil1archive!Q3-MIN(Feuil1archive!Q$2:Q$35))/(MAX(Feuil1archive!Q$2:Q$35) - MIN(Feuil1archive!Q$2:Q$35)))</f>
        <v>0</v>
      </c>
    </row>
    <row r="4" spans="1:15" x14ac:dyDescent="0.3">
      <c r="A4" s="22" t="s">
        <v>14</v>
      </c>
      <c r="B4" s="1">
        <f>((Feuil1archive!B4-MIN(Feuil1archive!B$2:B$35))/(MAX(Feuil1archive!B$2:B$35) - MIN(Feuil1archive!B$2:B$35)))</f>
        <v>0.62542500772741327</v>
      </c>
      <c r="C4" s="1">
        <f>((Feuil1archive!C4-MIN(Feuil1archive!C$2:C$35))/(MAX(Feuil1archive!C$2:C$35) - MIN(Feuil1archive!C$2:C$35)))</f>
        <v>0.58264020312363196</v>
      </c>
      <c r="D4" s="1">
        <f>((Feuil1archive!D4-MIN(Feuil1archive!D$2:D$35))/(MAX(Feuil1archive!D$2:D$35) - MIN(Feuil1archive!D$2:D$35)))</f>
        <v>0.58655266617024893</v>
      </c>
      <c r="E4" s="1">
        <f>((Feuil1archive!E4-MIN(Feuil1archive!E$2:E$35))/(MAX(Feuil1archive!E$2:E$35) - MIN(Feuil1archive!E$2:E$35)))</f>
        <v>0.53663476060647664</v>
      </c>
      <c r="F4" s="1">
        <f>((Feuil1archive!G4-MIN(Feuil1archive!G$2:G$35))/(MAX(Feuil1archive!G$2:G$35) - MIN(Feuil1archive!G$2:G$35)))</f>
        <v>0.65683205199334227</v>
      </c>
      <c r="G4" s="1">
        <f>((Feuil1archive!H4-MIN(Feuil1archive!H$2:H$35))/(MAX(Feuil1archive!H$2:H$35) - MIN(Feuil1archive!H$2:H$35)))</f>
        <v>0.12487818434998936</v>
      </c>
      <c r="H4" s="1">
        <f>((Feuil1archive!J4-MIN(Feuil1archive!J$2:J$35))/(MAX(Feuil1archive!J$2:J$35) - MIN(Feuil1archive!J$2:J$35)))</f>
        <v>0.93288590604026844</v>
      </c>
      <c r="I4" s="1">
        <f>((Feuil1archive!K4-MIN(Feuil1archive!K$2:K$35))/(MAX(Feuil1archive!K$2:K$35) - MIN(Feuil1archive!K$2:K$35)))</f>
        <v>0.20117762512266929</v>
      </c>
      <c r="J4" s="1">
        <f>((Feuil1archive!L4-MIN(Feuil1archive!L$2:L$35))/(MAX(Feuil1archive!L$2:L$35) - MIN(Feuil1archive!L$2:L$35)))</f>
        <v>0.84925262376762434</v>
      </c>
      <c r="K4" s="1">
        <f>((Feuil1archive!M4-MIN(Feuil1archive!M$2:M$35))/(MAX(Feuil1archive!M$2:M$35) - MIN(Feuil1archive!M$2:M$35)))</f>
        <v>0.2451123634592639</v>
      </c>
      <c r="L4" s="1">
        <f>((Feuil1archive!N4-MIN(Feuil1archive!N$2:N$35))/(MAX(Feuil1archive!N$2:N$35) - MIN(Feuil1archive!N$2:N$35)))</f>
        <v>0.87608906098741535</v>
      </c>
      <c r="M4" s="1">
        <f>((Feuil1archive!O4-MIN(Feuil1archive!O$2:O$35))/(MAX(Feuil1archive!O$2:O$35) - MIN(Feuil1archive!O$2:O$35)))</f>
        <v>1</v>
      </c>
      <c r="N4" s="1">
        <f>((Feuil1archive!P4-MIN(Feuil1archive!P$2:P$35))/(MAX(Feuil1archive!P$2:P$35) - MIN(Feuil1archive!P$2:P$35)))</f>
        <v>9.866468842729971E-2</v>
      </c>
      <c r="O4" s="1">
        <f>((Feuil1archive!Q4-MIN(Feuil1archive!Q$2:Q$35))/(MAX(Feuil1archive!Q$2:Q$35) - MIN(Feuil1archive!Q$2:Q$35)))</f>
        <v>0</v>
      </c>
    </row>
    <row r="5" spans="1:15" x14ac:dyDescent="0.3">
      <c r="A5" s="22" t="s">
        <v>15</v>
      </c>
      <c r="B5" s="1">
        <f>((Feuil1archive!B5-MIN(Feuil1archive!B$2:B$35))/(MAX(Feuil1archive!B$2:B$35) - MIN(Feuil1archive!B$2:B$35)))</f>
        <v>0.73023373152239135</v>
      </c>
      <c r="C5" s="1">
        <f>((Feuil1archive!C5-MIN(Feuil1archive!C$2:C$35))/(MAX(Feuil1archive!C$2:C$35) - MIN(Feuil1archive!C$2:C$35)))</f>
        <v>0.45306133444683161</v>
      </c>
      <c r="D5" s="1">
        <f>((Feuil1archive!D5-MIN(Feuil1archive!D$2:D$35))/(MAX(Feuil1archive!D$2:D$35) - MIN(Feuil1archive!D$2:D$35)))</f>
        <v>0.58655266617024893</v>
      </c>
      <c r="E5" s="1">
        <f>((Feuil1archive!E5-MIN(Feuil1archive!E$2:E$35))/(MAX(Feuil1archive!E$2:E$35) - MIN(Feuil1archive!E$2:E$35)))</f>
        <v>0.80993664554851619</v>
      </c>
      <c r="F5" s="1">
        <f>((Feuil1archive!G5-MIN(Feuil1archive!G$2:G$35))/(MAX(Feuil1archive!G$2:G$35) - MIN(Feuil1archive!G$2:G$35)))</f>
        <v>0.61870888483791708</v>
      </c>
      <c r="G5" s="1">
        <f>((Feuil1archive!H5-MIN(Feuil1archive!H$2:H$35))/(MAX(Feuil1archive!H$2:H$35) - MIN(Feuil1archive!H$2:H$35)))</f>
        <v>0.12487818434998936</v>
      </c>
      <c r="H5" s="1">
        <f>((Feuil1archive!J5-MIN(Feuil1archive!J$2:J$35))/(MAX(Feuil1archive!J$2:J$35) - MIN(Feuil1archive!J$2:J$35)))</f>
        <v>0.1476510067114094</v>
      </c>
      <c r="I5" s="1">
        <f>((Feuil1archive!K5-MIN(Feuil1archive!K$2:K$35))/(MAX(Feuil1archive!K$2:K$35) - MIN(Feuil1archive!K$2:K$35)))</f>
        <v>0.24599280340202814</v>
      </c>
      <c r="J5" s="1">
        <f>((Feuil1archive!L5-MIN(Feuil1archive!L$2:L$35))/(MAX(Feuil1archive!L$2:L$35) - MIN(Feuil1archive!L$2:L$35)))</f>
        <v>0.57044418530690133</v>
      </c>
      <c r="K5" s="1">
        <f>((Feuil1archive!M5-MIN(Feuil1archive!M$2:M$35))/(MAX(Feuil1archive!M$2:M$35) - MIN(Feuil1archive!M$2:M$35)))</f>
        <v>0.2451123634592639</v>
      </c>
      <c r="L5" s="1">
        <f>((Feuil1archive!N5-MIN(Feuil1archive!N$2:N$35))/(MAX(Feuil1archive!N$2:N$35) - MIN(Feuil1archive!N$2:N$35)))</f>
        <v>1</v>
      </c>
      <c r="M5" s="1">
        <f>((Feuil1archive!O5-MIN(Feuil1archive!O$2:O$35))/(MAX(Feuil1archive!O$2:O$35) - MIN(Feuil1archive!O$2:O$35)))</f>
        <v>0.49851190476190477</v>
      </c>
      <c r="N5" s="1">
        <f>((Feuil1archive!P5-MIN(Feuil1archive!P$2:P$35))/(MAX(Feuil1archive!P$2:P$35) - MIN(Feuil1archive!P$2:P$35)))</f>
        <v>9.866468842729971E-2</v>
      </c>
      <c r="O5" s="1">
        <f>((Feuil1archive!Q5-MIN(Feuil1archive!Q$2:Q$35))/(MAX(Feuil1archive!Q$2:Q$35) - MIN(Feuil1archive!Q$2:Q$35)))</f>
        <v>0</v>
      </c>
    </row>
    <row r="6" spans="1:15" x14ac:dyDescent="0.3">
      <c r="A6" s="22" t="s">
        <v>22</v>
      </c>
      <c r="B6" s="1">
        <f>((Feuil1archive!B6-MIN(Feuil1archive!B$2:B$35))/(MAX(Feuil1archive!B$2:B$35) - MIN(Feuil1archive!B$2:B$35)))</f>
        <v>1</v>
      </c>
      <c r="C6" s="1">
        <f>((Feuil1archive!C6-MIN(Feuil1archive!C$2:C$35))/(MAX(Feuil1archive!C$2:C$35) - MIN(Feuil1archive!C$2:C$35)))</f>
        <v>0.79606818380802935</v>
      </c>
      <c r="D6" s="1">
        <f>((Feuil1archive!D6-MIN(Feuil1archive!D$2:D$35))/(MAX(Feuil1archive!D$2:D$35) - MIN(Feuil1archive!D$2:D$35)))</f>
        <v>0.84738746202045212</v>
      </c>
      <c r="E6" s="1">
        <f>((Feuil1archive!E6-MIN(Feuil1archive!E$2:E$35))/(MAX(Feuil1archive!E$2:E$35) - MIN(Feuil1archive!E$2:E$35)))</f>
        <v>1</v>
      </c>
      <c r="F6" s="1">
        <f>((Feuil1archive!G6-MIN(Feuil1archive!G$2:G$35))/(MAX(Feuil1archive!G$2:G$35) - MIN(Feuil1archive!G$2:G$35)))</f>
        <v>0.93548387096774188</v>
      </c>
      <c r="G6" s="1">
        <f>((Feuil1archive!H6-MIN(Feuil1archive!H$2:H$35))/(MAX(Feuil1archive!H$2:H$35) - MIN(Feuil1archive!H$2:H$35)))</f>
        <v>0.60067036607061974</v>
      </c>
      <c r="H6" s="1">
        <f>((Feuil1archive!J6-MIN(Feuil1archive!J$2:J$35))/(MAX(Feuil1archive!J$2:J$35) - MIN(Feuil1archive!J$2:J$35)))</f>
        <v>0.93288590604026844</v>
      </c>
      <c r="I6" s="1">
        <f>((Feuil1archive!K6-MIN(Feuil1archive!K$2:K$35))/(MAX(Feuil1archive!K$2:K$35) - MIN(Feuil1archive!K$2:K$35)))</f>
        <v>0.21573438011122015</v>
      </c>
      <c r="J6" s="1">
        <f>((Feuil1archive!L6-MIN(Feuil1archive!L$2:L$35))/(MAX(Feuil1archive!L$2:L$35) - MIN(Feuil1archive!L$2:L$35)))</f>
        <v>1</v>
      </c>
      <c r="K6" s="1">
        <f>((Feuil1archive!M6-MIN(Feuil1archive!M$2:M$35))/(MAX(Feuil1archive!M$2:M$35) - MIN(Feuil1archive!M$2:M$35)))</f>
        <v>0.18040770889862939</v>
      </c>
      <c r="L6" s="1">
        <f>((Feuil1archive!N6-MIN(Feuil1archive!N$2:N$35))/(MAX(Feuil1archive!N$2:N$35) - MIN(Feuil1archive!N$2:N$35)))</f>
        <v>0.26911907066795743</v>
      </c>
      <c r="M6" s="1">
        <f>((Feuil1archive!O6-MIN(Feuil1archive!O$2:O$35))/(MAX(Feuil1archive!O$2:O$35) - MIN(Feuil1archive!O$2:O$35)))</f>
        <v>0.2078373015873016</v>
      </c>
      <c r="N6" s="1">
        <f>((Feuil1archive!P6-MIN(Feuil1archive!P$2:P$35))/(MAX(Feuil1archive!P$2:P$35) - MIN(Feuil1archive!P$2:P$35)))</f>
        <v>0.79302670623145399</v>
      </c>
      <c r="O6" s="1">
        <f>((Feuil1archive!Q6-MIN(Feuil1archive!Q$2:Q$35))/(MAX(Feuil1archive!Q$2:Q$35) - MIN(Feuil1archive!Q$2:Q$35)))</f>
        <v>0.95621181262729127</v>
      </c>
    </row>
    <row r="7" spans="1:15" x14ac:dyDescent="0.3">
      <c r="A7" s="22" t="s">
        <v>16</v>
      </c>
      <c r="B7" s="1">
        <f>((Feuil1archive!B7-MIN(Feuil1archive!B$2:B$35))/(MAX(Feuil1archive!B$2:B$35) - MIN(Feuil1archive!B$2:B$35)))</f>
        <v>0.45208094692630779</v>
      </c>
      <c r="C7" s="1">
        <f>((Feuil1archive!C7-MIN(Feuil1archive!C$2:C$35))/(MAX(Feuil1archive!C$2:C$35) - MIN(Feuil1archive!C$2:C$35)))</f>
        <v>0.31560266970184742</v>
      </c>
      <c r="D7" s="1">
        <f>((Feuil1archive!D7-MIN(Feuil1archive!D$2:D$35))/(MAX(Feuil1archive!D$2:D$35) - MIN(Feuil1archive!D$2:D$35)))</f>
        <v>0.38210358210884954</v>
      </c>
      <c r="E7" s="1">
        <f>((Feuil1archive!E7-MIN(Feuil1archive!E$2:E$35))/(MAX(Feuil1archive!E$2:E$35) - MIN(Feuil1archive!E$2:E$35)))</f>
        <v>0.46921032501029758</v>
      </c>
      <c r="F7" s="1">
        <f>((Feuil1archive!G7-MIN(Feuil1archive!G$2:G$35))/(MAX(Feuil1archive!G$2:G$35) - MIN(Feuil1archive!G$2:G$35)))</f>
        <v>0.40907109455496554</v>
      </c>
      <c r="G7" s="1">
        <f>((Feuil1archive!H7-MIN(Feuil1archive!H$2:H$35))/(MAX(Feuil1archive!H$2:H$35) - MIN(Feuil1archive!H$2:H$35)))</f>
        <v>0.20100493342529022</v>
      </c>
      <c r="H7" s="1">
        <f>((Feuil1archive!J7-MIN(Feuil1archive!J$2:J$35))/(MAX(Feuil1archive!J$2:J$35) - MIN(Feuil1archive!J$2:J$35)))</f>
        <v>0.4563758389261745</v>
      </c>
      <c r="I7" s="1">
        <f>((Feuil1archive!K7-MIN(Feuil1archive!K$2:K$35))/(MAX(Feuil1archive!K$2:K$35) - MIN(Feuil1archive!K$2:K$35)))</f>
        <v>0.38779849525678772</v>
      </c>
      <c r="J7" s="1">
        <f>((Feuil1archive!L7-MIN(Feuil1archive!L$2:L$35))/(MAX(Feuil1archive!L$2:L$35) - MIN(Feuil1archive!L$2:L$35)))</f>
        <v>0.31729036361708896</v>
      </c>
      <c r="K7" s="1">
        <f>((Feuil1archive!M7-MIN(Feuil1archive!M$2:M$35))/(MAX(Feuil1archive!M$2:M$35) - MIN(Feuil1archive!M$2:M$35)))</f>
        <v>5.4477144646211645E-2</v>
      </c>
      <c r="L7" s="1">
        <f>((Feuil1archive!N7-MIN(Feuil1archive!N$2:N$35))/(MAX(Feuil1archive!N$2:N$35) - MIN(Feuil1archive!N$2:N$35)))</f>
        <v>0.76282671829622462</v>
      </c>
      <c r="M7" s="1">
        <f>((Feuil1archive!O7-MIN(Feuil1archive!O$2:O$35))/(MAX(Feuil1archive!O$2:O$35) - MIN(Feuil1archive!O$2:O$35)))</f>
        <v>0</v>
      </c>
      <c r="N7" s="1">
        <f>((Feuil1archive!P7-MIN(Feuil1archive!P$2:P$35))/(MAX(Feuil1archive!P$2:P$35) - MIN(Feuil1archive!P$2:P$35)))</f>
        <v>5.1681503461918889E-2</v>
      </c>
      <c r="O7" s="1">
        <f>((Feuil1archive!Q7-MIN(Feuil1archive!Q$2:Q$35))/(MAX(Feuil1archive!Q$2:Q$35) - MIN(Feuil1archive!Q$2:Q$35)))</f>
        <v>0</v>
      </c>
    </row>
    <row r="8" spans="1:15" x14ac:dyDescent="0.3">
      <c r="A8" s="22" t="s">
        <v>17</v>
      </c>
      <c r="B8" s="1">
        <f>((Feuil1archive!B8-MIN(Feuil1archive!B$2:B$35))/(MAX(Feuil1archive!B$2:B$35) - MIN(Feuil1archive!B$2:B$35)))</f>
        <v>0.63519791268932169</v>
      </c>
      <c r="C8" s="1">
        <f>((Feuil1archive!C8-MIN(Feuil1archive!C$2:C$35))/(MAX(Feuil1archive!C$2:C$35) - MIN(Feuil1archive!C$2:C$35)))</f>
        <v>0.69612273624234755</v>
      </c>
      <c r="D8" s="1">
        <f>((Feuil1archive!D8-MIN(Feuil1archive!D$2:D$35))/(MAX(Feuil1archive!D$2:D$35) - MIN(Feuil1archive!D$2:D$35)))</f>
        <v>0.561197053098341</v>
      </c>
      <c r="E8" s="1">
        <f>((Feuil1archive!E8-MIN(Feuil1archive!E$2:E$35))/(MAX(Feuil1archive!E$2:E$35) - MIN(Feuil1archive!E$2:E$35)))</f>
        <v>0.54237196712629698</v>
      </c>
      <c r="F8" s="1">
        <f>((Feuil1archive!G8-MIN(Feuil1archive!G$2:G$35))/(MAX(Feuil1archive!G$2:G$35) - MIN(Feuil1archive!G$2:G$35)))</f>
        <v>0.66923595149401605</v>
      </c>
      <c r="G8" s="1">
        <f>((Feuil1archive!H8-MIN(Feuil1archive!H$2:H$35))/(MAX(Feuil1archive!H$2:H$35) - MIN(Feuil1archive!H$2:H$35)))</f>
        <v>2.9719748005863276E-2</v>
      </c>
      <c r="H8" s="1">
        <f>((Feuil1archive!J8-MIN(Feuil1archive!J$2:J$35))/(MAX(Feuil1archive!J$2:J$35) - MIN(Feuil1archive!J$2:J$35)))</f>
        <v>0.34228187919463088</v>
      </c>
      <c r="I8" s="1">
        <f>((Feuil1archive!K8-MIN(Feuil1archive!K$2:K$35))/(MAX(Feuil1archive!K$2:K$35) - MIN(Feuil1archive!K$2:K$35)))</f>
        <v>0.25580634609093883</v>
      </c>
      <c r="J8" s="1">
        <f>((Feuil1archive!L8-MIN(Feuil1archive!L$2:L$35))/(MAX(Feuil1archive!L$2:L$35) - MIN(Feuil1archive!L$2:L$35)))</f>
        <v>0.46061698293225911</v>
      </c>
      <c r="K8" s="1">
        <f>((Feuil1archive!M8-MIN(Feuil1archive!M$2:M$35))/(MAX(Feuil1archive!M$2:M$35) - MIN(Feuil1archive!M$2:M$35)))</f>
        <v>0.29729353649203372</v>
      </c>
      <c r="L8" s="1">
        <f>((Feuil1archive!N8-MIN(Feuil1archive!N$2:N$35))/(MAX(Feuil1archive!N$2:N$35) - MIN(Feuil1archive!N$2:N$35)))</f>
        <v>0.54695062923523718</v>
      </c>
      <c r="M8" s="1">
        <f>((Feuil1archive!O8-MIN(Feuil1archive!O$2:O$35))/(MAX(Feuil1archive!O$2:O$35) - MIN(Feuil1archive!O$2:O$35)))</f>
        <v>0.53125</v>
      </c>
      <c r="N8" s="1">
        <f>((Feuil1archive!P8-MIN(Feuil1archive!P$2:P$35))/(MAX(Feuil1archive!P$2:P$35) - MIN(Feuil1archive!P$2:P$35)))</f>
        <v>0.81231454005934722</v>
      </c>
      <c r="O8" s="1">
        <f>((Feuil1archive!Q8-MIN(Feuil1archive!Q$2:Q$35))/(MAX(Feuil1archive!Q$2:Q$35) - MIN(Feuil1archive!Q$2:Q$35)))</f>
        <v>0.76782077393075354</v>
      </c>
    </row>
    <row r="9" spans="1:15" x14ac:dyDescent="0.3">
      <c r="A9" s="22" t="s">
        <v>18</v>
      </c>
      <c r="B9" s="1">
        <f>((Feuil1archive!B9-MIN(Feuil1archive!B$2:B$35))/(MAX(Feuil1archive!B$2:B$35) - MIN(Feuil1archive!B$2:B$35)))</f>
        <v>0.59035618829433267</v>
      </c>
      <c r="C9" s="1">
        <f>((Feuil1archive!C9-MIN(Feuil1archive!C$2:C$35))/(MAX(Feuil1archive!C$2:C$35) - MIN(Feuil1archive!C$2:C$35)))</f>
        <v>0.68440406516658703</v>
      </c>
      <c r="D9" s="1">
        <f>((Feuil1archive!D9-MIN(Feuil1archive!D$2:D$35))/(MAX(Feuil1archive!D$2:D$35) - MIN(Feuil1archive!D$2:D$35)))</f>
        <v>0.51046188397712011</v>
      </c>
      <c r="E9" s="1">
        <f>((Feuil1archive!E9-MIN(Feuil1archive!E$2:E$35))/(MAX(Feuil1archive!E$2:E$35) - MIN(Feuil1archive!E$2:E$35)))</f>
        <v>0.50184375183884822</v>
      </c>
      <c r="F9" s="1">
        <f>((Feuil1archive!G9-MIN(Feuil1archive!G$2:G$35))/(MAX(Feuil1archive!G$2:G$35) - MIN(Feuil1archive!G$2:G$35)))</f>
        <v>0.62380122057541409</v>
      </c>
      <c r="G9" s="1">
        <f>((Feuil1archive!H9-MIN(Feuil1archive!H$2:H$35))/(MAX(Feuil1archive!H$2:H$35) - MIN(Feuil1archive!H$2:H$35)))</f>
        <v>2.9719748005863276E-2</v>
      </c>
      <c r="H9" s="1">
        <f>((Feuil1archive!J9-MIN(Feuil1archive!J$2:J$35))/(MAX(Feuil1archive!J$2:J$35) - MIN(Feuil1archive!J$2:J$35)))</f>
        <v>0.26845637583892618</v>
      </c>
      <c r="I9" s="1">
        <f>((Feuil1archive!K9-MIN(Feuil1archive!K$2:K$35))/(MAX(Feuil1archive!K$2:K$35) - MIN(Feuil1archive!K$2:K$35)))</f>
        <v>0.2508995747464835</v>
      </c>
      <c r="J9" s="1">
        <f>((Feuil1archive!L9-MIN(Feuil1archive!L$2:L$35))/(MAX(Feuil1archive!L$2:L$35) - MIN(Feuil1archive!L$2:L$35)))</f>
        <v>0.44407929608820101</v>
      </c>
      <c r="K9" s="1">
        <f>((Feuil1archive!M9-MIN(Feuil1archive!M$2:M$35))/(MAX(Feuil1archive!M$2:M$35) - MIN(Feuil1archive!M$2:M$35)))</f>
        <v>0.29729353649203372</v>
      </c>
      <c r="L9" s="1">
        <f>((Feuil1archive!N9-MIN(Feuil1archive!N$2:N$35))/(MAX(Feuil1archive!N$2:N$35) - MIN(Feuil1archive!N$2:N$35)))</f>
        <v>0.54695062923523718</v>
      </c>
      <c r="M9" s="1">
        <f>((Feuil1archive!O9-MIN(Feuil1archive!O$2:O$35))/(MAX(Feuil1archive!O$2:O$35) - MIN(Feuil1archive!O$2:O$35)))</f>
        <v>0.52827380952380953</v>
      </c>
      <c r="N9" s="1">
        <f>((Feuil1archive!P9-MIN(Feuil1archive!P$2:P$35))/(MAX(Feuil1archive!P$2:P$35) - MIN(Feuil1archive!P$2:P$35)))</f>
        <v>0.80365974282888231</v>
      </c>
      <c r="O9" s="1">
        <f>((Feuil1archive!Q9-MIN(Feuil1archive!Q$2:Q$35))/(MAX(Feuil1archive!Q$2:Q$35) - MIN(Feuil1archive!Q$2:Q$35)))</f>
        <v>0.75509164969450104</v>
      </c>
    </row>
    <row r="10" spans="1:15" x14ac:dyDescent="0.3">
      <c r="A10" s="22" t="s">
        <v>19</v>
      </c>
      <c r="B10" s="1">
        <f>((Feuil1archive!B10-MIN(Feuil1archive!B$2:B$35))/(MAX(Feuil1archive!B$2:B$35) - MIN(Feuil1archive!B$2:B$35)))</f>
        <v>0.46328569610356557</v>
      </c>
      <c r="C10" s="1">
        <f>((Feuil1archive!C10-MIN(Feuil1archive!C$2:C$35))/(MAX(Feuil1archive!C$2:C$35) - MIN(Feuil1archive!C$2:C$35)))</f>
        <v>0.53845946619432794</v>
      </c>
      <c r="D10" s="1">
        <f>((Feuil1archive!D10-MIN(Feuil1archive!D$2:D$35))/(MAX(Feuil1archive!D$2:D$35) - MIN(Feuil1archive!D$2:D$35)))</f>
        <v>0.40669301990379714</v>
      </c>
      <c r="E10" s="1">
        <f>((Feuil1archive!E10-MIN(Feuil1archive!E$2:E$35))/(MAX(Feuil1archive!E$2:E$35) - MIN(Feuil1archive!E$2:E$35)))</f>
        <v>0.38707510346586116</v>
      </c>
      <c r="F10" s="1">
        <f>((Feuil1archive!G10-MIN(Feuil1archive!G$2:G$35))/(MAX(Feuil1archive!G$2:G$35) - MIN(Feuil1archive!G$2:G$35)))</f>
        <v>0.49498692240627723</v>
      </c>
      <c r="G10" s="1">
        <f>((Feuil1archive!H10-MIN(Feuil1archive!H$2:H$35))/(MAX(Feuil1archive!H$2:H$35) - MIN(Feuil1archive!H$2:H$35)))</f>
        <v>2.9719748005863276E-2</v>
      </c>
      <c r="H10" s="1">
        <f>((Feuil1archive!J10-MIN(Feuil1archive!J$2:J$35))/(MAX(Feuil1archive!J$2:J$35) - MIN(Feuil1archive!J$2:J$35)))</f>
        <v>0.34899328859060402</v>
      </c>
      <c r="I10" s="1">
        <f>((Feuil1archive!K10-MIN(Feuil1archive!K$2:K$35))/(MAX(Feuil1archive!K$2:K$35) - MIN(Feuil1archive!K$2:K$35)))</f>
        <v>0.23323519790644423</v>
      </c>
      <c r="J10" s="1">
        <f>((Feuil1archive!L10-MIN(Feuil1archive!L$2:L$35))/(MAX(Feuil1archive!L$2:L$35) - MIN(Feuil1archive!L$2:L$35)))</f>
        <v>0.18498886886462418</v>
      </c>
      <c r="K10" s="1">
        <f>((Feuil1archive!M10-MIN(Feuil1archive!M$2:M$35))/(MAX(Feuil1archive!M$2:M$35) - MIN(Feuil1archive!M$2:M$35)))</f>
        <v>0.29729353649203372</v>
      </c>
      <c r="L10" s="1">
        <f>((Feuil1archive!N10-MIN(Feuil1archive!N$2:N$35))/(MAX(Feuil1archive!N$2:N$35) - MIN(Feuil1archive!N$2:N$35)))</f>
        <v>0.54695062923523718</v>
      </c>
      <c r="M10" s="1">
        <f>((Feuil1archive!O10-MIN(Feuil1archive!O$2:O$35))/(MAX(Feuil1archive!O$2:O$35) - MIN(Feuil1archive!O$2:O$35)))</f>
        <v>0.51984126984126988</v>
      </c>
      <c r="N10" s="1">
        <f>((Feuil1archive!P10-MIN(Feuil1archive!P$2:P$35))/(MAX(Feuil1archive!P$2:P$35) - MIN(Feuil1archive!P$2:P$35)))</f>
        <v>0.67235410484668645</v>
      </c>
      <c r="O10" s="1">
        <f>((Feuil1archive!Q10-MIN(Feuil1archive!Q$2:Q$35))/(MAX(Feuil1archive!Q$2:Q$35) - MIN(Feuil1archive!Q$2:Q$35)))</f>
        <v>0.60794297352342164</v>
      </c>
    </row>
    <row r="11" spans="1:15" x14ac:dyDescent="0.3">
      <c r="A11" s="22" t="s">
        <v>20</v>
      </c>
      <c r="B11" s="1">
        <f>((Feuil1archive!B11-MIN(Feuil1archive!B$2:B$35))/(MAX(Feuil1archive!B$2:B$35) - MIN(Feuil1archive!B$2:B$35)))</f>
        <v>0.4405125547737232</v>
      </c>
      <c r="C11" s="1">
        <f>((Feuil1archive!C11-MIN(Feuil1archive!C$2:C$35))/(MAX(Feuil1archive!C$2:C$35) - MIN(Feuil1archive!C$2:C$35)))</f>
        <v>0.53239808460341731</v>
      </c>
      <c r="D11" s="1">
        <f>((Feuil1archive!D11-MIN(Feuil1archive!D$2:D$35))/(MAX(Feuil1archive!D$2:D$35) - MIN(Feuil1archive!D$2:D$35)))</f>
        <v>0.38097826217081399</v>
      </c>
      <c r="E11" s="1">
        <f>((Feuil1archive!E11-MIN(Feuil1archive!E$2:E$35))/(MAX(Feuil1archive!E$2:E$35) - MIN(Feuil1archive!E$2:E$35)))</f>
        <v>0.36648000313830098</v>
      </c>
      <c r="F11" s="1">
        <f>((Feuil1archive!G11-MIN(Feuil1archive!G$2:G$35))/(MAX(Feuil1archive!G$2:G$35) - MIN(Feuil1archive!G$2:G$35)))</f>
        <v>0.47192280256796387</v>
      </c>
      <c r="G11" s="1">
        <f>((Feuil1archive!H11-MIN(Feuil1archive!H$2:H$35))/(MAX(Feuil1archive!H$2:H$35) - MIN(Feuil1archive!H$2:H$35)))</f>
        <v>2.9719748005863276E-2</v>
      </c>
      <c r="H11" s="1">
        <f>((Feuil1archive!J11-MIN(Feuil1archive!J$2:J$35))/(MAX(Feuil1archive!J$2:J$35) - MIN(Feuil1archive!J$2:J$35)))</f>
        <v>0.34899328859060402</v>
      </c>
      <c r="I11" s="1">
        <f>((Feuil1archive!K11-MIN(Feuil1archive!K$2:K$35))/(MAX(Feuil1archive!K$2:K$35) - MIN(Feuil1archive!K$2:K$35)))</f>
        <v>0.23045469414458619</v>
      </c>
      <c r="J11" s="1">
        <f>((Feuil1archive!L11-MIN(Feuil1archive!L$2:L$35))/(MAX(Feuil1archive!L$2:L$35) - MIN(Feuil1archive!L$2:L$35)))</f>
        <v>0.178628220078448</v>
      </c>
      <c r="K11" s="1">
        <f>((Feuil1archive!M11-MIN(Feuil1archive!M$2:M$35))/(MAX(Feuil1archive!M$2:M$35) - MIN(Feuil1archive!M$2:M$35)))</f>
        <v>0.29729353649203372</v>
      </c>
      <c r="L11" s="1">
        <f>((Feuil1archive!N11-MIN(Feuil1archive!N$2:N$35))/(MAX(Feuil1archive!N$2:N$35) - MIN(Feuil1archive!N$2:N$35)))</f>
        <v>0.54695062923523718</v>
      </c>
      <c r="M11" s="1">
        <f>((Feuil1archive!O11-MIN(Feuil1archive!O$2:O$35))/(MAX(Feuil1archive!O$2:O$35) - MIN(Feuil1archive!O$2:O$35)))</f>
        <v>0.51835317460317465</v>
      </c>
      <c r="N11" s="1">
        <f>((Feuil1archive!P11-MIN(Feuil1archive!P$2:P$35))/(MAX(Feuil1archive!P$2:P$35) - MIN(Feuil1archive!P$2:P$35)))</f>
        <v>0.66543026706231456</v>
      </c>
      <c r="O11" s="1">
        <f>((Feuil1archive!Q11-MIN(Feuil1archive!Q$2:Q$35))/(MAX(Feuil1archive!Q$2:Q$35) - MIN(Feuil1archive!Q$2:Q$35)))</f>
        <v>0.60183299389002032</v>
      </c>
    </row>
    <row r="12" spans="1:15" x14ac:dyDescent="0.3">
      <c r="A12" s="22" t="s">
        <v>23</v>
      </c>
      <c r="B12" s="1">
        <f>((Feuil1archive!B12-MIN(Feuil1archive!B$2:B$35))/(MAX(Feuil1archive!B$2:B$35) - MIN(Feuil1archive!B$2:B$35)))</f>
        <v>0.55184412443862618</v>
      </c>
      <c r="C12" s="1">
        <f>((Feuil1archive!C12-MIN(Feuil1archive!C$2:C$35))/(MAX(Feuil1archive!C$2:C$35) - MIN(Feuil1archive!C$2:C$35)))</f>
        <v>0.51205878193169496</v>
      </c>
      <c r="D12" s="1">
        <f>((Feuil1archive!D12-MIN(Feuil1archive!D$2:D$35))/(MAX(Feuil1archive!D$2:D$35) - MIN(Feuil1archive!D$2:D$35)))</f>
        <v>0.48747662566830835</v>
      </c>
      <c r="E12" s="1">
        <f>((Feuil1archive!E12-MIN(Feuil1archive!E$2:E$35))/(MAX(Feuil1archive!E$2:E$35) - MIN(Feuil1archive!E$2:E$35)))</f>
        <v>0.50503108879430403</v>
      </c>
      <c r="F12" s="1">
        <f>((Feuil1archive!G12-MIN(Feuil1archive!G$2:G$35))/(MAX(Feuil1archive!G$2:G$35) - MIN(Feuil1archive!G$2:G$35)))</f>
        <v>0.55407386858999763</v>
      </c>
      <c r="G12" s="1">
        <f>((Feuil1archive!H12-MIN(Feuil1archive!H$2:H$35))/(MAX(Feuil1archive!H$2:H$35) - MIN(Feuil1archive!H$2:H$35)))</f>
        <v>0.37024600329288859</v>
      </c>
      <c r="H12" s="1">
        <f>((Feuil1archive!J12-MIN(Feuil1archive!J$2:J$35))/(MAX(Feuil1archive!J$2:J$35) - MIN(Feuil1archive!J$2:J$35)))</f>
        <v>0.93288590604026844</v>
      </c>
      <c r="I12" s="1">
        <f>((Feuil1archive!K12-MIN(Feuil1archive!K$2:K$35))/(MAX(Feuil1archive!K$2:K$35) - MIN(Feuil1archive!K$2:K$35)))</f>
        <v>1.3738959764474975E-2</v>
      </c>
      <c r="J12" s="1">
        <f>((Feuil1archive!L12-MIN(Feuil1archive!L$2:L$35))/(MAX(Feuil1archive!L$2:L$35) - MIN(Feuil1archive!L$2:L$35)))</f>
        <v>0.5838015477578713</v>
      </c>
      <c r="K12" s="1">
        <f>((Feuil1archive!M12-MIN(Feuil1archive!M$2:M$35))/(MAX(Feuil1archive!M$2:M$35) - MIN(Feuil1archive!M$2:M$35)))</f>
        <v>0.54498017115424757</v>
      </c>
      <c r="L12" s="1">
        <f>((Feuil1archive!N12-MIN(Feuil1archive!N$2:N$35))/(MAX(Feuil1archive!N$2:N$35) - MIN(Feuil1archive!N$2:N$35)))</f>
        <v>0.67957405614714428</v>
      </c>
      <c r="M12" s="1">
        <f>((Feuil1archive!O12-MIN(Feuil1archive!O$2:O$35))/(MAX(Feuil1archive!O$2:O$35) - MIN(Feuil1archive!O$2:O$35)))</f>
        <v>0.41220238095238093</v>
      </c>
      <c r="N12" s="1">
        <f>((Feuil1archive!P12-MIN(Feuil1archive!P$2:P$35))/(MAX(Feuil1archive!P$2:P$35) - MIN(Feuil1archive!P$2:P$35)))</f>
        <v>0.33877349159248271</v>
      </c>
      <c r="O12" s="1">
        <f>((Feuil1archive!Q12-MIN(Feuil1archive!Q$2:Q$35))/(MAX(Feuil1archive!Q$2:Q$35) - MIN(Feuil1archive!Q$2:Q$35)))</f>
        <v>0.68024439918533608</v>
      </c>
    </row>
    <row r="13" spans="1:15" x14ac:dyDescent="0.3">
      <c r="A13" s="22" t="s">
        <v>28</v>
      </c>
      <c r="B13" s="1">
        <f>((Feuil1archive!B13-MIN(Feuil1archive!B$2:B$35))/(MAX(Feuil1archive!B$2:B$35) - MIN(Feuil1archive!B$2:B$35)))</f>
        <v>0.56317387588865253</v>
      </c>
      <c r="C13" s="1">
        <f>((Feuil1archive!C13-MIN(Feuil1archive!C$2:C$35))/(MAX(Feuil1archive!C$2:C$35) - MIN(Feuil1archive!C$2:C$35)))</f>
        <v>0.37177147244428582</v>
      </c>
      <c r="D13" s="1">
        <f>((Feuil1archive!D13-MIN(Feuil1archive!D$2:D$35))/(MAX(Feuil1archive!D$2:D$35) - MIN(Feuil1archive!D$2:D$35)))</f>
        <v>0.42673329199179239</v>
      </c>
      <c r="E13" s="1">
        <f>((Feuil1archive!E13-MIN(Feuil1archive!E$2:E$35))/(MAX(Feuil1archive!E$2:E$35) - MIN(Feuil1archive!E$2:E$35)))</f>
        <v>0.64274856324657237</v>
      </c>
      <c r="F13" s="1">
        <f>((Feuil1archive!G13-MIN(Feuil1archive!G$2:G$35))/(MAX(Feuil1archive!G$2:G$35) - MIN(Feuil1archive!G$2:G$35)))</f>
        <v>0.46253071253071254</v>
      </c>
      <c r="G13" s="1">
        <f>((Feuil1archive!H13-MIN(Feuil1archive!H$2:H$35))/(MAX(Feuil1archive!H$2:H$35) - MIN(Feuil1archive!H$2:H$35)))</f>
        <v>0.44435121518455278</v>
      </c>
      <c r="H13" s="1">
        <f>((Feuil1archive!J13-MIN(Feuil1archive!J$2:J$35))/(MAX(Feuil1archive!J$2:J$35) - MIN(Feuil1archive!J$2:J$35)))</f>
        <v>0.34228187919463088</v>
      </c>
      <c r="I13" s="1">
        <f>((Feuil1archive!K13-MIN(Feuil1archive!K$2:K$35))/(MAX(Feuil1archive!K$2:K$35) - MIN(Feuil1archive!K$2:K$35)))</f>
        <v>0.54072620215897937</v>
      </c>
      <c r="J13" s="1">
        <f>((Feuil1archive!L13-MIN(Feuil1archive!L$2:L$35))/(MAX(Feuil1archive!L$2:L$35) - MIN(Feuil1archive!L$2:L$35)))</f>
        <v>0.20491890172797625</v>
      </c>
      <c r="K13" s="1">
        <f>((Feuil1archive!M13-MIN(Feuil1archive!M$2:M$35))/(MAX(Feuil1archive!M$2:M$35) - MIN(Feuil1archive!M$2:M$35)))</f>
        <v>0.19084394350518336</v>
      </c>
      <c r="L13" s="1">
        <f>((Feuil1archive!N13-MIN(Feuil1archive!N$2:N$35))/(MAX(Feuil1archive!N$2:N$35) - MIN(Feuil1archive!N$2:N$35)))</f>
        <v>0.16456921587608905</v>
      </c>
      <c r="M13" s="1">
        <f>((Feuil1archive!O13-MIN(Feuil1archive!O$2:O$35))/(MAX(Feuil1archive!O$2:O$35) - MIN(Feuil1archive!O$2:O$35)))</f>
        <v>0</v>
      </c>
      <c r="N13" s="1">
        <f>((Feuil1archive!P13-MIN(Feuil1archive!P$2:P$35))/(MAX(Feuil1archive!P$2:P$35) - MIN(Feuil1archive!P$2:P$35)))</f>
        <v>0.26211671612265086</v>
      </c>
      <c r="O13" s="1">
        <f>((Feuil1archive!Q13-MIN(Feuil1archive!Q$2:Q$35))/(MAX(Feuil1archive!Q$2:Q$35) - MIN(Feuil1archive!Q$2:Q$35)))</f>
        <v>0</v>
      </c>
    </row>
    <row r="14" spans="1:15" x14ac:dyDescent="0.3">
      <c r="A14" s="22" t="s">
        <v>30</v>
      </c>
      <c r="B14" s="1">
        <f>((Feuil1archive!B14-MIN(Feuil1archive!B$2:B$35))/(MAX(Feuil1archive!B$2:B$35) - MIN(Feuil1archive!B$2:B$35)))</f>
        <v>0.46391070746740853</v>
      </c>
      <c r="C14" s="1">
        <f>((Feuil1archive!C14-MIN(Feuil1archive!C$2:C$35))/(MAX(Feuil1archive!C$2:C$35) - MIN(Feuil1archive!C$2:C$35)))</f>
        <v>0.43662825546702949</v>
      </c>
      <c r="D14" s="1">
        <f>((Feuil1archive!D14-MIN(Feuil1archive!D$2:D$35))/(MAX(Feuil1archive!D$2:D$35) - MIN(Feuil1archive!D$2:D$35)))</f>
        <v>0.3016791210054135</v>
      </c>
      <c r="E14" s="1">
        <f>((Feuil1archive!E14-MIN(Feuil1archive!E$2:E$35))/(MAX(Feuil1archive!E$2:E$35) - MIN(Feuil1archive!E$2:E$35)))</f>
        <v>0.53303061804915364</v>
      </c>
      <c r="F14" s="1">
        <f>((Feuil1archive!G14-MIN(Feuil1archive!G$2:G$35))/(MAX(Feuil1archive!G$2:G$35) - MIN(Feuil1archive!G$2:G$35)))</f>
        <v>0.37812078941111199</v>
      </c>
      <c r="G14" s="1">
        <f>((Feuil1archive!H14-MIN(Feuil1archive!H$2:H$35))/(MAX(Feuil1archive!H$2:H$35) - MIN(Feuil1archive!H$2:H$35)))</f>
        <v>0.79080151613538274</v>
      </c>
      <c r="H14" s="1">
        <f>((Feuil1archive!J14-MIN(Feuil1archive!J$2:J$35))/(MAX(Feuil1archive!J$2:J$35) - MIN(Feuil1archive!J$2:J$35)))</f>
        <v>0.93288590604026844</v>
      </c>
      <c r="I14" s="1">
        <f>((Feuil1archive!K14-MIN(Feuil1archive!K$2:K$35))/(MAX(Feuil1archive!K$2:K$35) - MIN(Feuil1archive!K$2:K$35)))</f>
        <v>0.10827608766764803</v>
      </c>
      <c r="J14" s="1">
        <f>((Feuil1archive!L14-MIN(Feuil1archive!L$2:L$35))/(MAX(Feuil1archive!L$2:L$35) - MIN(Feuil1archive!L$2:L$35)))</f>
        <v>0.44725962048128909</v>
      </c>
      <c r="K14" s="1">
        <f>((Feuil1archive!M14-MIN(Feuil1archive!M$2:M$35))/(MAX(Feuil1archive!M$2:M$35) - MIN(Feuil1archive!M$2:M$35)))</f>
        <v>0.23815487372156127</v>
      </c>
      <c r="L14" s="1">
        <f>((Feuil1archive!N14-MIN(Feuil1archive!N$2:N$35))/(MAX(Feuil1archive!N$2:N$35) - MIN(Feuil1archive!N$2:N$35)))</f>
        <v>3.8722168441432718E-2</v>
      </c>
      <c r="M14" s="1">
        <f>((Feuil1archive!O14-MIN(Feuil1archive!O$2:O$35))/(MAX(Feuil1archive!O$2:O$35) - MIN(Feuil1archive!O$2:O$35)))</f>
        <v>0.18253968253968253</v>
      </c>
      <c r="N14" s="1">
        <f>((Feuil1archive!P14-MIN(Feuil1archive!P$2:P$35))/(MAX(Feuil1archive!P$2:P$35) - MIN(Feuil1archive!P$2:P$35)))</f>
        <v>0.54277942631058362</v>
      </c>
      <c r="O14" s="1">
        <f>((Feuil1archive!Q14-MIN(Feuil1archive!Q$2:Q$35))/(MAX(Feuil1archive!Q$2:Q$35) - MIN(Feuil1archive!Q$2:Q$35)))</f>
        <v>0.52087576374745415</v>
      </c>
    </row>
    <row r="15" spans="1:15" x14ac:dyDescent="0.3">
      <c r="A15" s="22" t="s">
        <v>31</v>
      </c>
      <c r="B15" s="1">
        <f>((Feuil1archive!B15-MIN(Feuil1archive!B$2:B$35))/(MAX(Feuil1archive!B$2:B$35) - MIN(Feuil1archive!B$2:B$35)))</f>
        <v>0.87356588301605487</v>
      </c>
      <c r="C15" s="1">
        <f>((Feuil1archive!C15-MIN(Feuil1archive!C$2:C$35))/(MAX(Feuil1archive!C$2:C$35) - MIN(Feuil1archive!C$2:C$35)))</f>
        <v>0.58607498602514796</v>
      </c>
      <c r="D15" s="1">
        <f>((Feuil1archive!D15-MIN(Feuil1archive!D$2:D$35))/(MAX(Feuil1archive!D$2:D$35) - MIN(Feuil1archive!D$2:D$35)))</f>
        <v>1</v>
      </c>
      <c r="E15" s="1">
        <f>((Feuil1archive!E15-MIN(Feuil1archive!E$2:E$35))/(MAX(Feuil1archive!E$2:E$35) - MIN(Feuil1archive!E$2:E$35)))</f>
        <v>0.6473824608202734</v>
      </c>
      <c r="F15" s="1">
        <f>((Feuil1archive!G15-MIN(Feuil1archive!G$2:G$35))/(MAX(Feuil1archive!G$2:G$35) - MIN(Feuil1archive!G$2:G$35)))</f>
        <v>1</v>
      </c>
      <c r="G15" s="1">
        <f>((Feuil1archive!H15-MIN(Feuil1archive!H$2:H$35))/(MAX(Feuil1archive!H$2:H$35) - MIN(Feuil1archive!H$2:H$35)))</f>
        <v>7.4379610384912351E-2</v>
      </c>
      <c r="H15" s="1">
        <f>((Feuil1archive!J15-MIN(Feuil1archive!J$2:J$35))/(MAX(Feuil1archive!J$2:J$35) - MIN(Feuil1archive!J$2:J$35)))</f>
        <v>0.93288590604026844</v>
      </c>
      <c r="I15" s="1">
        <f>((Feuil1archive!K15-MIN(Feuil1archive!K$2:K$35))/(MAX(Feuil1archive!K$2:K$35) - MIN(Feuil1archive!K$2:K$35)))</f>
        <v>0.32401046777886816</v>
      </c>
      <c r="J15" s="1">
        <f>((Feuil1archive!L15-MIN(Feuil1archive!L$2:L$35))/(MAX(Feuil1archive!L$2:L$35) - MIN(Feuil1archive!L$2:L$35)))</f>
        <v>0.33361602883494118</v>
      </c>
      <c r="K15" s="1">
        <f>((Feuil1archive!M15-MIN(Feuil1archive!M$2:M$35))/(MAX(Feuil1archive!M$2:M$35) - MIN(Feuil1archive!M$2:M$35)))</f>
        <v>0.14631600918388646</v>
      </c>
      <c r="L15" s="1">
        <f>((Feuil1archive!N15-MIN(Feuil1archive!N$2:N$35))/(MAX(Feuil1archive!N$2:N$35) - MIN(Feuil1archive!N$2:N$35)))</f>
        <v>0.11229428848015489</v>
      </c>
      <c r="M15" s="1">
        <f>((Feuil1archive!O15-MIN(Feuil1archive!O$2:O$35))/(MAX(Feuil1archive!O$2:O$35) - MIN(Feuil1archive!O$2:O$35)))</f>
        <v>0.57886904761904767</v>
      </c>
      <c r="N15" s="1">
        <f>((Feuil1archive!P15-MIN(Feuil1archive!P$2:P$35))/(MAX(Feuil1archive!P$2:P$35) - MIN(Feuil1archive!P$2:P$35)))</f>
        <v>0.58679525222551931</v>
      </c>
      <c r="O15" s="1">
        <f>((Feuil1archive!Q15-MIN(Feuil1archive!Q$2:Q$35))/(MAX(Feuil1archive!Q$2:Q$35) - MIN(Feuil1archive!Q$2:Q$35)))</f>
        <v>0.78309572301425667</v>
      </c>
    </row>
    <row r="16" spans="1:15" x14ac:dyDescent="0.3">
      <c r="A16" s="22" t="s">
        <v>34</v>
      </c>
      <c r="B16" s="1">
        <f>((Feuil1archive!B16-MIN(Feuil1archive!B$2:B$35))/(MAX(Feuil1archive!B$2:B$35) - MIN(Feuil1archive!B$2:B$35)))</f>
        <v>0.42296678121420395</v>
      </c>
      <c r="C16" s="1">
        <f>((Feuil1archive!C16-MIN(Feuil1archive!C$2:C$35))/(MAX(Feuil1archive!C$2:C$35) - MIN(Feuil1archive!C$2:C$35)))</f>
        <v>0.28960607754527518</v>
      </c>
      <c r="D16" s="1">
        <f>((Feuil1archive!D16-MIN(Feuil1archive!D$2:D$35))/(MAX(Feuil1archive!D$2:D$35) - MIN(Feuil1archive!D$2:D$35)))</f>
        <v>0.21172535489478256</v>
      </c>
      <c r="E16" s="1">
        <f>((Feuil1archive!E16-MIN(Feuil1archive!E$2:E$35))/(MAX(Feuil1archive!E$2:E$35) - MIN(Feuil1archive!E$2:E$35)))</f>
        <v>0.59032912931761572</v>
      </c>
      <c r="F16" s="1">
        <f>((Feuil1archive!G16-MIN(Feuil1archive!G$2:G$35))/(MAX(Feuil1archive!G$2:G$35) - MIN(Feuil1archive!G$2:G$35)))</f>
        <v>0.26042244590631686</v>
      </c>
      <c r="G16" s="1">
        <f>((Feuil1archive!H16-MIN(Feuil1archive!H$2:H$35))/(MAX(Feuil1archive!H$2:H$35) - MIN(Feuil1archive!H$2:H$35)))</f>
        <v>0.70575282269671014</v>
      </c>
      <c r="H16" s="1">
        <f>((Feuil1archive!J16-MIN(Feuil1archive!J$2:J$35))/(MAX(Feuil1archive!J$2:J$35) - MIN(Feuil1archive!J$2:J$35)))</f>
        <v>8.0536912751677847E-2</v>
      </c>
      <c r="I16" s="1">
        <f>((Feuil1archive!K16-MIN(Feuil1archive!K$2:K$35))/(MAX(Feuil1archive!K$2:K$35) - MIN(Feuil1archive!K$2:K$35)))</f>
        <v>9.1593065096499837E-2</v>
      </c>
      <c r="J16" s="1">
        <f>((Feuil1archive!L16-MIN(Feuil1archive!L$2:L$35))/(MAX(Feuil1archive!L$2:L$35) - MIN(Feuil1archive!L$2:L$35)))</f>
        <v>0.28909148733170781</v>
      </c>
      <c r="K16" s="1">
        <f>((Feuil1archive!M16-MIN(Feuil1archive!M$2:M$35))/(MAX(Feuil1archive!M$2:M$35) - MIN(Feuil1archive!M$2:M$35)))</f>
        <v>0.12544353997077856</v>
      </c>
      <c r="L16" s="1">
        <f>((Feuil1archive!N16-MIN(Feuil1archive!N$2:N$35))/(MAX(Feuil1archive!N$2:N$35) - MIN(Feuil1archive!N$2:N$35)))</f>
        <v>3.8722168441432718E-2</v>
      </c>
      <c r="M16" s="1">
        <f>((Feuil1archive!O16-MIN(Feuil1archive!O$2:O$35))/(MAX(Feuil1archive!O$2:O$35) - MIN(Feuil1archive!O$2:O$35)))</f>
        <v>0.14136904761904762</v>
      </c>
      <c r="N16" s="1">
        <f>((Feuil1archive!P16-MIN(Feuil1archive!P$2:P$35))/(MAX(Feuil1archive!P$2:P$35) - MIN(Feuil1archive!P$2:P$35)))</f>
        <v>0.33160237388724034</v>
      </c>
      <c r="O16" s="1">
        <f>((Feuil1archive!Q16-MIN(Feuil1archive!Q$2:Q$35))/(MAX(Feuil1archive!Q$2:Q$35) - MIN(Feuil1archive!Q$2:Q$35)))</f>
        <v>0.40071283095723015</v>
      </c>
    </row>
    <row r="17" spans="1:15" x14ac:dyDescent="0.3">
      <c r="A17" s="22" t="s">
        <v>35</v>
      </c>
      <c r="B17" s="1">
        <f>((Feuil1archive!B17-MIN(Feuil1archive!B$2:B$35))/(MAX(Feuil1archive!B$2:B$35) - MIN(Feuil1archive!B$2:B$35)))</f>
        <v>0.41809169257622869</v>
      </c>
      <c r="C17" s="1">
        <f>((Feuil1archive!C17-MIN(Feuil1archive!C$2:C$35))/(MAX(Feuil1archive!C$2:C$35) - MIN(Feuil1archive!C$2:C$35)))</f>
        <v>0.43858136731298958</v>
      </c>
      <c r="D17" s="1">
        <f>((Feuil1archive!D17-MIN(Feuil1archive!D$2:D$35))/(MAX(Feuil1archive!D$2:D$35) - MIN(Feuil1archive!D$2:D$35)))</f>
        <v>0.21309010460686825</v>
      </c>
      <c r="E17" s="1">
        <f>((Feuil1archive!E17-MIN(Feuil1archive!E$2:E$35))/(MAX(Feuil1archive!E$2:E$35) - MIN(Feuil1archive!E$2:E$35)))</f>
        <v>0.52417962850361888</v>
      </c>
      <c r="F17" s="1">
        <f>((Feuil1archive!G17-MIN(Feuil1archive!G$2:G$35))/(MAX(Feuil1archive!G$2:G$35) - MIN(Feuil1archive!G$2:G$35)))</f>
        <v>0.30538162796227314</v>
      </c>
      <c r="G17" s="1">
        <f>((Feuil1archive!H17-MIN(Feuil1archive!H$2:H$35))/(MAX(Feuil1archive!H$2:H$35) - MIN(Feuil1archive!H$2:H$35)))</f>
        <v>0.64272267510271341</v>
      </c>
      <c r="H17" s="1">
        <f>((Feuil1archive!J17-MIN(Feuil1archive!J$2:J$35))/(MAX(Feuil1archive!J$2:J$35) - MIN(Feuil1archive!J$2:J$35)))</f>
        <v>0.34899328859060402</v>
      </c>
      <c r="I17" s="1">
        <f>((Feuil1archive!K17-MIN(Feuil1archive!K$2:K$35))/(MAX(Feuil1archive!K$2:K$35) - MIN(Feuil1archive!K$2:K$35)))</f>
        <v>0.14785737651292116</v>
      </c>
      <c r="J17" s="1">
        <f>((Feuil1archive!L17-MIN(Feuil1archive!L$2:L$35))/(MAX(Feuil1archive!L$2:L$35) - MIN(Feuil1archive!L$2:L$35)))</f>
        <v>0.37326407293543939</v>
      </c>
      <c r="K17" s="1">
        <f>((Feuil1archive!M17-MIN(Feuil1archive!M$2:M$35))/(MAX(Feuil1archive!M$2:M$35) - MIN(Feuil1archive!M$2:M$35)))</f>
        <v>0.12544353997077856</v>
      </c>
      <c r="L17" s="1">
        <f>((Feuil1archive!N17-MIN(Feuil1archive!N$2:N$35))/(MAX(Feuil1archive!N$2:N$35) - MIN(Feuil1archive!N$2:N$35)))</f>
        <v>3.8722168441432718E-2</v>
      </c>
      <c r="M17" s="1">
        <f>((Feuil1archive!O17-MIN(Feuil1archive!O$2:O$35))/(MAX(Feuil1archive!O$2:O$35) - MIN(Feuil1archive!O$2:O$35)))</f>
        <v>0.13095238095238096</v>
      </c>
      <c r="N17" s="1">
        <f>((Feuil1archive!P17-MIN(Feuil1archive!P$2:P$35))/(MAX(Feuil1archive!P$2:P$35) - MIN(Feuil1archive!P$2:P$35)))</f>
        <v>0.66345202769535117</v>
      </c>
      <c r="O17" s="1">
        <f>((Feuil1archive!Q17-MIN(Feuil1archive!Q$2:Q$35))/(MAX(Feuil1archive!Q$2:Q$35) - MIN(Feuil1archive!Q$2:Q$35)))</f>
        <v>0.47708757637474541</v>
      </c>
    </row>
    <row r="18" spans="1:15" x14ac:dyDescent="0.3">
      <c r="A18" s="22" t="s">
        <v>36</v>
      </c>
      <c r="B18" s="1">
        <f>((Feuil1archive!B18-MIN(Feuil1archive!B$2:B$35))/(MAX(Feuil1archive!B$2:B$35) - MIN(Feuil1archive!B$2:B$35)))</f>
        <v>0.20287187039764362</v>
      </c>
      <c r="C18" s="1">
        <f>((Feuil1archive!C18-MIN(Feuil1archive!C$2:C$35))/(MAX(Feuil1archive!C$2:C$35) - MIN(Feuil1archive!C$2:C$35)))</f>
        <v>0.13025909038866926</v>
      </c>
      <c r="D18" s="1">
        <f>((Feuil1archive!D18-MIN(Feuil1archive!D$2:D$35))/(MAX(Feuil1archive!D$2:D$35) - MIN(Feuil1archive!D$2:D$35)))</f>
        <v>0.21129438130149236</v>
      </c>
      <c r="E18" s="1">
        <f>((Feuil1archive!E18-MIN(Feuil1archive!E$2:E$35))/(MAX(Feuil1archive!E$2:E$35) - MIN(Feuil1archive!E$2:E$35)))</f>
        <v>0.17391581507561343</v>
      </c>
      <c r="F18" s="1">
        <f>((Feuil1archive!G18-MIN(Feuil1archive!G$2:G$35))/(MAX(Feuil1archive!G$2:G$35) - MIN(Feuil1archive!G$2:G$35)))</f>
        <v>0.21318459221685029</v>
      </c>
      <c r="G18" s="1">
        <f>((Feuil1archive!H18-MIN(Feuil1archive!H$2:H$35))/(MAX(Feuil1archive!H$2:H$35) - MIN(Feuil1archive!H$2:H$35)))</f>
        <v>4.5943677917876027E-2</v>
      </c>
      <c r="H18" s="1">
        <f>((Feuil1archive!J18-MIN(Feuil1archive!J$2:J$35))/(MAX(Feuil1archive!J$2:J$35) - MIN(Feuil1archive!J$2:J$35)))</f>
        <v>8.0536912751677847E-2</v>
      </c>
      <c r="I18" s="1">
        <f>((Feuil1archive!K18-MIN(Feuil1archive!K$2:K$35))/(MAX(Feuil1archive!K$2:K$35) - MIN(Feuil1archive!K$2:K$35)))</f>
        <v>0</v>
      </c>
      <c r="J18" s="1">
        <f>((Feuil1archive!L18-MIN(Feuil1archive!L$2:L$35))/(MAX(Feuil1archive!L$2:L$35) - MIN(Feuil1archive!L$2:L$35)))</f>
        <v>9.0003180324393084E-2</v>
      </c>
      <c r="K18" s="1">
        <f>((Feuil1archive!M18-MIN(Feuil1archive!M$2:M$35))/(MAX(Feuil1archive!M$2:M$35) - MIN(Feuil1archive!M$2:M$35)))</f>
        <v>0.12544353997077856</v>
      </c>
      <c r="L18" s="1">
        <f>((Feuil1archive!N18-MIN(Feuil1archive!N$2:N$35))/(MAX(Feuil1archive!N$2:N$35) - MIN(Feuil1archive!N$2:N$35)))</f>
        <v>3.8722168441432718E-2</v>
      </c>
      <c r="M18" s="1">
        <f>((Feuil1archive!O18-MIN(Feuil1archive!O$2:O$35))/(MAX(Feuil1archive!O$2:O$35) - MIN(Feuil1archive!O$2:O$35)))</f>
        <v>0.10367063492063493</v>
      </c>
      <c r="N18" s="1">
        <f>((Feuil1archive!P18-MIN(Feuil1archive!P$2:P$35))/(MAX(Feuil1archive!P$2:P$35) - MIN(Feuil1archive!P$2:P$35)))</f>
        <v>0.21686449060336302</v>
      </c>
      <c r="O18" s="1">
        <f>((Feuil1archive!Q18-MIN(Feuil1archive!Q$2:Q$35))/(MAX(Feuil1archive!Q$2:Q$35) - MIN(Feuil1archive!Q$2:Q$35)))</f>
        <v>0.23421588594704684</v>
      </c>
    </row>
    <row r="19" spans="1:15" x14ac:dyDescent="0.3">
      <c r="A19" s="22" t="s">
        <v>37</v>
      </c>
      <c r="B19" s="1">
        <f>((Feuil1archive!B19-MIN(Feuil1archive!B$2:B$35))/(MAX(Feuil1archive!B$2:B$35) - MIN(Feuil1archive!B$2:B$35)))</f>
        <v>0.20569010345642652</v>
      </c>
      <c r="C19" s="1">
        <f>((Feuil1archive!C19-MIN(Feuil1archive!C$2:C$35))/(MAX(Feuil1archive!C$2:C$35) - MIN(Feuil1archive!C$2:C$35)))</f>
        <v>0.22629831426243088</v>
      </c>
      <c r="D19" s="1">
        <f>((Feuil1archive!D19-MIN(Feuil1archive!D$2:D$35))/(MAX(Feuil1archive!D$2:D$35) - MIN(Feuil1archive!D$2:D$35)))</f>
        <v>0.2096183728831415</v>
      </c>
      <c r="E19" s="1">
        <f>((Feuil1archive!E19-MIN(Feuil1archive!E$2:E$35))/(MAX(Feuil1archive!E$2:E$35) - MIN(Feuil1archive!E$2:E$35)))</f>
        <v>0.14674989702449834</v>
      </c>
      <c r="F19" s="1">
        <f>((Feuil1archive!G19-MIN(Feuil1archive!G$2:G$35))/(MAX(Feuil1archive!G$2:G$35) - MIN(Feuil1archive!G$2:G$35)))</f>
        <v>0.24005310295632876</v>
      </c>
      <c r="G19" s="1">
        <f>((Feuil1archive!H19-MIN(Feuil1archive!H$2:H$35))/(MAX(Feuil1archive!H$2:H$35) - MIN(Feuil1archive!H$2:H$35)))</f>
        <v>2.7714699620058156E-3</v>
      </c>
      <c r="H19" s="1">
        <f>((Feuil1archive!J19-MIN(Feuil1archive!J$2:J$35))/(MAX(Feuil1archive!J$2:J$35) - MIN(Feuil1archive!J$2:J$35)))</f>
        <v>0.34899328859060402</v>
      </c>
      <c r="I19" s="1">
        <f>((Feuil1archive!K19-MIN(Feuil1archive!K$2:K$35))/(MAX(Feuil1archive!K$2:K$35) - MIN(Feuil1archive!K$2:K$35)))</f>
        <v>4.350670592083742E-2</v>
      </c>
      <c r="J19" s="1">
        <f>((Feuil1archive!L19-MIN(Feuil1archive!L$2:L$35))/(MAX(Feuil1archive!L$2:L$35) - MIN(Feuil1archive!L$2:L$35)))</f>
        <v>0.14894519240962578</v>
      </c>
      <c r="K19" s="1">
        <f>((Feuil1archive!M19-MIN(Feuil1archive!M$2:M$35))/(MAX(Feuil1archive!M$2:M$35) - MIN(Feuil1archive!M$2:M$35)))</f>
        <v>0.12544353997077856</v>
      </c>
      <c r="L19" s="1">
        <f>((Feuil1archive!N19-MIN(Feuil1archive!N$2:N$35))/(MAX(Feuil1archive!N$2:N$35) - MIN(Feuil1archive!N$2:N$35)))</f>
        <v>3.8722168441432718E-2</v>
      </c>
      <c r="M19" s="1">
        <f>((Feuil1archive!O19-MIN(Feuil1archive!O$2:O$35))/(MAX(Feuil1archive!O$2:O$35) - MIN(Feuil1archive!O$2:O$35)))</f>
        <v>0.10813492063492064</v>
      </c>
      <c r="N19" s="1">
        <f>((Feuil1archive!P19-MIN(Feuil1archive!P$2:P$35))/(MAX(Feuil1archive!P$2:P$35) - MIN(Feuil1archive!P$2:P$35)))</f>
        <v>0.40454995054401582</v>
      </c>
      <c r="O19" s="1">
        <f>((Feuil1archive!Q19-MIN(Feuil1archive!Q$2:Q$35))/(MAX(Feuil1archive!Q$2:Q$35) - MIN(Feuil1archive!Q$2:Q$35)))</f>
        <v>0.29226069246435843</v>
      </c>
    </row>
    <row r="20" spans="1:15" x14ac:dyDescent="0.3">
      <c r="A20" s="22" t="s">
        <v>38</v>
      </c>
      <c r="B20" s="1">
        <f>((Feuil1archive!B20-MIN(Feuil1archive!B$2:B$35))/(MAX(Feuil1archive!B$2:B$35) - MIN(Feuil1archive!B$2:B$35)))</f>
        <v>0.2059741995309006</v>
      </c>
      <c r="C20" s="1">
        <f>((Feuil1archive!C20-MIN(Feuil1archive!C$2:C$35))/(MAX(Feuil1archive!C$2:C$35) - MIN(Feuil1archive!C$2:C$35)))</f>
        <v>0.13025909038866926</v>
      </c>
      <c r="D20" s="1">
        <f>((Feuil1archive!D20-MIN(Feuil1archive!D$2:D$35))/(MAX(Feuil1archive!D$2:D$35) - MIN(Feuil1archive!D$2:D$35)))</f>
        <v>0.21783081413306069</v>
      </c>
      <c r="E20" s="1">
        <f>((Feuil1archive!E20-MIN(Feuil1archive!E$2:E$35))/(MAX(Feuil1archive!E$2:E$35) - MIN(Feuil1archive!E$2:E$35)))</f>
        <v>0.17391581507561343</v>
      </c>
      <c r="F20" s="1">
        <f>((Feuil1archive!G20-MIN(Feuil1archive!G$2:G$35))/(MAX(Feuil1archive!G$2:G$35) - MIN(Feuil1archive!G$2:G$35)))</f>
        <v>0.21859396052944441</v>
      </c>
      <c r="G20" s="1">
        <f>((Feuil1archive!H20-MIN(Feuil1archive!H$2:H$35))/(MAX(Feuil1archive!H$2:H$35) - MIN(Feuil1archive!H$2:H$35)))</f>
        <v>3.1071766101429501E-2</v>
      </c>
      <c r="H20" s="1">
        <f>((Feuil1archive!J20-MIN(Feuil1archive!J$2:J$35))/(MAX(Feuil1archive!J$2:J$35) - MIN(Feuil1archive!J$2:J$35)))</f>
        <v>8.0536912751677847E-2</v>
      </c>
      <c r="I20" s="1">
        <f>((Feuil1archive!K20-MIN(Feuil1archive!K$2:K$35))/(MAX(Feuil1archive!K$2:K$35) - MIN(Feuil1archive!K$2:K$35)))</f>
        <v>0</v>
      </c>
      <c r="J20" s="1">
        <f>((Feuil1archive!L20-MIN(Feuil1archive!L$2:L$35))/(MAX(Feuil1archive!L$2:L$35) - MIN(Feuil1archive!L$2:L$35)))</f>
        <v>9.0003180324393084E-2</v>
      </c>
      <c r="K20" s="1">
        <f>((Feuil1archive!M20-MIN(Feuil1archive!M$2:M$35))/(MAX(Feuil1archive!M$2:M$35) - MIN(Feuil1archive!M$2:M$35)))</f>
        <v>0.12544353997077856</v>
      </c>
      <c r="L20" s="1">
        <f>((Feuil1archive!N20-MIN(Feuil1archive!N$2:N$35))/(MAX(Feuil1archive!N$2:N$35) - MIN(Feuil1archive!N$2:N$35)))</f>
        <v>3.8722168441432718E-2</v>
      </c>
      <c r="M20" s="1">
        <f>((Feuil1archive!O20-MIN(Feuil1archive!O$2:O$35))/(MAX(Feuil1archive!O$2:O$35) - MIN(Feuil1archive!O$2:O$35)))</f>
        <v>0.10367063492063493</v>
      </c>
      <c r="N20" s="1">
        <f>((Feuil1archive!P20-MIN(Feuil1archive!P$2:P$35))/(MAX(Feuil1archive!P$2:P$35) - MIN(Feuil1archive!P$2:P$35)))</f>
        <v>0.21686449060336302</v>
      </c>
      <c r="O20" s="1">
        <f>((Feuil1archive!Q20-MIN(Feuil1archive!Q$2:Q$35))/(MAX(Feuil1archive!Q$2:Q$35) - MIN(Feuil1archive!Q$2:Q$35)))</f>
        <v>0.23421588594704684</v>
      </c>
    </row>
    <row r="21" spans="1:15" x14ac:dyDescent="0.3">
      <c r="A21" s="22" t="s">
        <v>39</v>
      </c>
      <c r="B21" s="1">
        <f>((Feuil1archive!B21-MIN(Feuil1archive!B$2:B$35))/(MAX(Feuil1archive!B$2:B$35) - MIN(Feuil1archive!B$2:B$35)))</f>
        <v>0.20632647866324846</v>
      </c>
      <c r="C21" s="1">
        <f>((Feuil1archive!C21-MIN(Feuil1archive!C$2:C$35))/(MAX(Feuil1archive!C$2:C$35) - MIN(Feuil1archive!C$2:C$35)))</f>
        <v>0.22629831426243088</v>
      </c>
      <c r="D21" s="1">
        <f>((Feuil1archive!D21-MIN(Feuil1archive!D$2:D$35))/(MAX(Feuil1archive!D$2:D$35) - MIN(Feuil1archive!D$2:D$35)))</f>
        <v>0.21095917961782218</v>
      </c>
      <c r="E21" s="1">
        <f>((Feuil1archive!E21-MIN(Feuil1archive!E$2:E$35))/(MAX(Feuil1archive!E$2:E$35) - MIN(Feuil1archive!E$2:E$35)))</f>
        <v>0.14674989702449834</v>
      </c>
      <c r="F21" s="1">
        <f>((Feuil1archive!G21-MIN(Feuil1archive!G$2:G$35))/(MAX(Feuil1archive!G$2:G$35) - MIN(Feuil1archive!G$2:G$35)))</f>
        <v>0.24116271696916858</v>
      </c>
      <c r="G21" s="1">
        <f>((Feuil1archive!H21-MIN(Feuil1archive!H$2:H$35))/(MAX(Feuil1archive!H$2:H$35) - MIN(Feuil1archive!H$2:H$35)))</f>
        <v>0</v>
      </c>
      <c r="H21" s="1">
        <f>((Feuil1archive!J21-MIN(Feuil1archive!J$2:J$35))/(MAX(Feuil1archive!J$2:J$35) - MIN(Feuil1archive!J$2:J$35)))</f>
        <v>0.34899328859060402</v>
      </c>
      <c r="I21" s="1">
        <f>((Feuil1archive!K21-MIN(Feuil1archive!K$2:K$35))/(MAX(Feuil1archive!K$2:K$35) - MIN(Feuil1archive!K$2:K$35)))</f>
        <v>4.350670592083742E-2</v>
      </c>
      <c r="J21" s="1">
        <f>((Feuil1archive!L21-MIN(Feuil1archive!L$2:L$35))/(MAX(Feuil1archive!L$2:L$35) - MIN(Feuil1archive!L$2:L$35)))</f>
        <v>0.14894519240962578</v>
      </c>
      <c r="K21" s="1">
        <f>((Feuil1archive!M21-MIN(Feuil1archive!M$2:M$35))/(MAX(Feuil1archive!M$2:M$35) - MIN(Feuil1archive!M$2:M$35)))</f>
        <v>0.12544353997077856</v>
      </c>
      <c r="L21" s="1">
        <f>((Feuil1archive!N21-MIN(Feuil1archive!N$2:N$35))/(MAX(Feuil1archive!N$2:N$35) - MIN(Feuil1archive!N$2:N$35)))</f>
        <v>3.8722168441432718E-2</v>
      </c>
      <c r="M21" s="1">
        <f>((Feuil1archive!O21-MIN(Feuil1archive!O$2:O$35))/(MAX(Feuil1archive!O$2:O$35) - MIN(Feuil1archive!O$2:O$35)))</f>
        <v>0.10813492063492064</v>
      </c>
      <c r="N21" s="1">
        <f>((Feuil1archive!P21-MIN(Feuil1archive!P$2:P$35))/(MAX(Feuil1archive!P$2:P$35) - MIN(Feuil1archive!P$2:P$35)))</f>
        <v>0.40454995054401582</v>
      </c>
      <c r="O21" s="1">
        <f>((Feuil1archive!Q21-MIN(Feuil1archive!Q$2:Q$35))/(MAX(Feuil1archive!Q$2:Q$35) - MIN(Feuil1archive!Q$2:Q$35)))</f>
        <v>0.29226069246435843</v>
      </c>
    </row>
    <row r="22" spans="1:15" x14ac:dyDescent="0.3">
      <c r="A22" s="22" t="s">
        <v>41</v>
      </c>
      <c r="B22" s="1">
        <f>((Feuil1archive!B22-MIN(Feuil1archive!B$2:B$35))/(MAX(Feuil1archive!B$2:B$35) - MIN(Feuil1archive!B$2:B$35)))</f>
        <v>0.2059741995309006</v>
      </c>
      <c r="C22" s="1">
        <f>((Feuil1archive!C22-MIN(Feuil1archive!C$2:C$35))/(MAX(Feuil1archive!C$2:C$35) - MIN(Feuil1archive!C$2:C$35)))</f>
        <v>0.13025909038866926</v>
      </c>
      <c r="D22" s="1">
        <f>((Feuil1archive!D22-MIN(Feuil1archive!D$2:D$35))/(MAX(Feuil1archive!D$2:D$35) - MIN(Feuil1archive!D$2:D$35)))</f>
        <v>0.21783081413306069</v>
      </c>
      <c r="E22" s="1">
        <f>((Feuil1archive!E22-MIN(Feuil1archive!E$2:E$35))/(MAX(Feuil1archive!E$2:E$35) - MIN(Feuil1archive!E$2:E$35)))</f>
        <v>0.17391581507561343</v>
      </c>
      <c r="F22" s="1">
        <f>((Feuil1archive!G22-MIN(Feuil1archive!G$2:G$35))/(MAX(Feuil1archive!G$2:G$35) - MIN(Feuil1archive!G$2:G$35)))</f>
        <v>0.21859396052944441</v>
      </c>
      <c r="G22" s="1">
        <f>((Feuil1archive!H22-MIN(Feuil1archive!H$2:H$35))/(MAX(Feuil1archive!H$2:H$35) - MIN(Feuil1archive!H$2:H$35)))</f>
        <v>3.1071766101429501E-2</v>
      </c>
      <c r="H22" s="1">
        <f>((Feuil1archive!J22-MIN(Feuil1archive!J$2:J$35))/(MAX(Feuil1archive!J$2:J$35) - MIN(Feuil1archive!J$2:J$35)))</f>
        <v>8.0536912751677847E-2</v>
      </c>
      <c r="I22" s="1">
        <f>((Feuil1archive!K22-MIN(Feuil1archive!K$2:K$35))/(MAX(Feuil1archive!K$2:K$35) - MIN(Feuil1archive!K$2:K$35)))</f>
        <v>0</v>
      </c>
      <c r="J22" s="1">
        <f>((Feuil1archive!L22-MIN(Feuil1archive!L$2:L$35))/(MAX(Feuil1archive!L$2:L$35) - MIN(Feuil1archive!L$2:L$35)))</f>
        <v>9.0003180324393084E-2</v>
      </c>
      <c r="K22" s="1">
        <f>((Feuil1archive!M22-MIN(Feuil1archive!M$2:M$35))/(MAX(Feuil1archive!M$2:M$35) - MIN(Feuil1archive!M$2:M$35)))</f>
        <v>0.12544353997077856</v>
      </c>
      <c r="L22" s="1">
        <f>((Feuil1archive!N22-MIN(Feuil1archive!N$2:N$35))/(MAX(Feuil1archive!N$2:N$35) - MIN(Feuil1archive!N$2:N$35)))</f>
        <v>3.8722168441432718E-2</v>
      </c>
      <c r="M22" s="1">
        <f>((Feuil1archive!O22-MIN(Feuil1archive!O$2:O$35))/(MAX(Feuil1archive!O$2:O$35) - MIN(Feuil1archive!O$2:O$35)))</f>
        <v>0.10367063492063493</v>
      </c>
      <c r="N22" s="1">
        <f>((Feuil1archive!P22-MIN(Feuil1archive!P$2:P$35))/(MAX(Feuil1archive!P$2:P$35) - MIN(Feuil1archive!P$2:P$35)))</f>
        <v>0.21686449060336302</v>
      </c>
      <c r="O22" s="1">
        <f>((Feuil1archive!Q22-MIN(Feuil1archive!Q$2:Q$35))/(MAX(Feuil1archive!Q$2:Q$35) - MIN(Feuil1archive!Q$2:Q$35)))</f>
        <v>0.23421588594704684</v>
      </c>
    </row>
    <row r="23" spans="1:15" x14ac:dyDescent="0.3">
      <c r="A23" s="22" t="s">
        <v>42</v>
      </c>
      <c r="B23" s="1">
        <f>((Feuil1archive!B23-MIN(Feuil1archive!B$2:B$35))/(MAX(Feuil1archive!B$2:B$35) - MIN(Feuil1archive!B$2:B$35)))</f>
        <v>0.48272923144057167</v>
      </c>
      <c r="C23" s="1">
        <f>((Feuil1archive!C23-MIN(Feuil1archive!C$2:C$35))/(MAX(Feuil1archive!C$2:C$35) - MIN(Feuil1archive!C$2:C$35)))</f>
        <v>0.29095305123214421</v>
      </c>
      <c r="D23" s="1">
        <f>((Feuil1archive!D23-MIN(Feuil1archive!D$2:D$35))/(MAX(Feuil1archive!D$2:D$35) - MIN(Feuil1archive!D$2:D$35)))</f>
        <v>0.33397819752477498</v>
      </c>
      <c r="E23" s="1">
        <f>((Feuil1archive!E23-MIN(Feuil1archive!E$2:E$35))/(MAX(Feuil1archive!E$2:E$35) - MIN(Feuil1archive!E$2:E$35)))</f>
        <v>0.59359002020281271</v>
      </c>
      <c r="F23" s="1">
        <f>((Feuil1archive!G23-MIN(Feuil1archive!G$2:G$35))/(MAX(Feuil1archive!G$2:G$35) - MIN(Feuil1archive!G$2:G$35)))</f>
        <v>0.36199175715304749</v>
      </c>
      <c r="G23" s="1">
        <f>((Feuil1archive!H23-MIN(Feuil1archive!H$2:H$35))/(MAX(Feuil1archive!H$2:H$35) - MIN(Feuil1archive!H$2:H$35)))</f>
        <v>0.59676622354422082</v>
      </c>
      <c r="H23" s="1">
        <f>((Feuil1archive!J23-MIN(Feuil1archive!J$2:J$35))/(MAX(Feuil1archive!J$2:J$35) - MIN(Feuil1archive!J$2:J$35)))</f>
        <v>0.34899328859060402</v>
      </c>
      <c r="I23" s="1">
        <f>((Feuil1archive!K23-MIN(Feuil1archive!K$2:K$35))/(MAX(Feuil1archive!K$2:K$35) - MIN(Feuil1archive!K$2:K$35)))</f>
        <v>9.2574419365390903E-2</v>
      </c>
      <c r="J23" s="1">
        <f>((Feuil1archive!L23-MIN(Feuil1archive!L$2:L$35))/(MAX(Feuil1archive!L$2:L$35) - MIN(Feuil1archive!L$2:L$35)))</f>
        <v>0.29078766034135484</v>
      </c>
      <c r="K23" s="1">
        <f>((Feuil1archive!M23-MIN(Feuil1archive!M$2:M$35))/(MAX(Feuil1archive!M$2:M$35) - MIN(Feuil1archive!M$2:M$35)))</f>
        <v>0.12544353997077856</v>
      </c>
      <c r="L23" s="1">
        <f>((Feuil1archive!N23-MIN(Feuil1archive!N$2:N$35))/(MAX(Feuil1archive!N$2:N$35) - MIN(Feuil1archive!N$2:N$35)))</f>
        <v>3.8722168441432718E-2</v>
      </c>
      <c r="M23" s="1">
        <f>((Feuil1archive!O23-MIN(Feuil1archive!O$2:O$35))/(MAX(Feuil1archive!O$2:O$35) - MIN(Feuil1archive!O$2:O$35)))</f>
        <v>0.14136904761904762</v>
      </c>
      <c r="N23" s="1">
        <f>((Feuil1archive!P23-MIN(Feuil1archive!P$2:P$35))/(MAX(Feuil1archive!P$2:P$35) - MIN(Feuil1archive!P$2:P$35)))</f>
        <v>0.33234421364985162</v>
      </c>
      <c r="O23" s="1">
        <f>((Feuil1archive!Q23-MIN(Feuil1archive!Q$2:Q$35))/(MAX(Feuil1archive!Q$2:Q$35) - MIN(Feuil1archive!Q$2:Q$35)))</f>
        <v>0.40224032586558045</v>
      </c>
    </row>
    <row r="24" spans="1:15" x14ac:dyDescent="0.3">
      <c r="A24" s="22" t="s">
        <v>44</v>
      </c>
      <c r="B24" s="1">
        <f>((Feuil1archive!B25-MIN(Feuil1archive!B$2:B$35))/(MAX(Feuil1archive!B$2:B$35) - MIN(Feuil1archive!B$2:B$35)))</f>
        <v>0.16524618629429627</v>
      </c>
      <c r="C24" s="1">
        <f>((Feuil1archive!C25-MIN(Feuil1archive!C$2:C$35))/(MAX(Feuil1archive!C$2:C$35) - MIN(Feuil1archive!C$2:C$35)))</f>
        <v>0.36759585401499184</v>
      </c>
      <c r="D24" s="1">
        <f>((Feuil1archive!D25-MIN(Feuil1archive!D$2:D$35))/(MAX(Feuil1archive!D$2:D$35) - MIN(Feuil1archive!D$2:D$35)))</f>
        <v>0.1328332443452673</v>
      </c>
      <c r="E24" s="1">
        <f>((Feuil1archive!E25-MIN(Feuil1archive!E$2:E$35))/(MAX(Feuil1archive!E$2:E$35) - MIN(Feuil1archive!E$2:E$35)))</f>
        <v>8.6680854402447868E-2</v>
      </c>
      <c r="F24" s="1">
        <f>((Feuil1archive!G25-MIN(Feuil1archive!G$2:G$35))/(MAX(Feuil1archive!G$2:G$35) - MIN(Feuil1archive!G$2:G$35)))</f>
        <v>0.21807878259491162</v>
      </c>
      <c r="G24" s="1">
        <f>((Feuil1archive!H25-MIN(Feuil1archive!H$2:H$35))/(MAX(Feuil1archive!H$2:H$35) - MIN(Feuil1archive!H$2:H$35)))</f>
        <v>5.8574915804237092E-2</v>
      </c>
      <c r="H24" s="1">
        <f>((Feuil1archive!J25-MIN(Feuil1archive!J$2:J$35))/(MAX(Feuil1archive!J$2:J$35) - MIN(Feuil1archive!J$2:J$35)))</f>
        <v>1</v>
      </c>
      <c r="I24" s="1">
        <f>((Feuil1archive!K25-MIN(Feuil1archive!K$2:K$35))/(MAX(Feuil1archive!K$2:K$35) - MIN(Feuil1archive!K$2:K$35)))</f>
        <v>0.11432777232580962</v>
      </c>
      <c r="J24" s="1">
        <f>((Feuil1archive!L25-MIN(Feuil1archive!L$2:L$35))/(MAX(Feuil1archive!L$2:L$35) - MIN(Feuil1archive!L$2:L$35)))</f>
        <v>0.10548075903742182</v>
      </c>
      <c r="K24" s="1">
        <f>((Feuil1archive!M25-MIN(Feuil1archive!M$2:M$35))/(MAX(Feuil1archive!M$2:M$35) - MIN(Feuil1archive!M$2:M$35)))</f>
        <v>0.35086620747234398</v>
      </c>
      <c r="L24" s="1">
        <f>((Feuil1archive!N25-MIN(Feuil1archive!N$2:N$35))/(MAX(Feuil1archive!N$2:N$35) - MIN(Feuil1archive!N$2:N$35)))</f>
        <v>4.9370764762826716E-2</v>
      </c>
      <c r="M24" s="1">
        <f>((Feuil1archive!O25-MIN(Feuil1archive!O$2:O$35))/(MAX(Feuil1archive!O$2:O$35) - MIN(Feuil1archive!O$2:O$35)))</f>
        <v>0.39632936507936506</v>
      </c>
      <c r="N24" s="1">
        <f>((Feuil1archive!P25-MIN(Feuil1archive!P$2:P$35))/(MAX(Feuil1archive!P$2:P$35) - MIN(Feuil1archive!P$2:P$35)))</f>
        <v>0.57467853610286845</v>
      </c>
      <c r="O24" s="1">
        <f>((Feuil1archive!Q25-MIN(Feuil1archive!Q$2:Q$35))/(MAX(Feuil1archive!Q$2:Q$35) - MIN(Feuil1archive!Q$2:Q$35)))</f>
        <v>0.42769857433808556</v>
      </c>
    </row>
    <row r="25" spans="1:15" x14ac:dyDescent="0.3">
      <c r="A25" s="22" t="s">
        <v>45</v>
      </c>
      <c r="B25" s="1">
        <f>((Feuil1archive!B26-MIN(Feuil1archive!B$2:B$35))/(MAX(Feuil1archive!B$2:B$35) - MIN(Feuil1archive!B$2:B$35)))</f>
        <v>0.45411507481954222</v>
      </c>
      <c r="C25" s="1">
        <f>((Feuil1archive!C26-MIN(Feuil1archive!C$2:C$35))/(MAX(Feuil1archive!C$2:C$35) - MIN(Feuil1archive!C$2:C$35)))</f>
        <v>0.62466578215394564</v>
      </c>
      <c r="D25" s="1">
        <f>((Feuil1archive!D26-MIN(Feuil1archive!D$2:D$35))/(MAX(Feuil1archive!D$2:D$35) - MIN(Feuil1archive!D$2:D$35)))</f>
        <v>0.2237447295520987</v>
      </c>
      <c r="E25" s="1">
        <f>((Feuil1archive!E26-MIN(Feuil1archive!E$2:E$35))/(MAX(Feuil1archive!E$2:E$35) - MIN(Feuil1archive!E$2:E$35)))</f>
        <v>0.52324794539356256</v>
      </c>
      <c r="F25" s="1">
        <f>((Feuil1archive!G26-MIN(Feuil1archive!G$2:G$35))/(MAX(Feuil1archive!G$2:G$35) - MIN(Feuil1archive!G$2:G$35)))</f>
        <v>0.36894665926923992</v>
      </c>
      <c r="G25" s="1">
        <f>((Feuil1archive!H26-MIN(Feuil1archive!H$2:H$35))/(MAX(Feuil1archive!H$2:H$35) - MIN(Feuil1archive!H$2:H$35)))</f>
        <v>0.56416299492883204</v>
      </c>
      <c r="H25" s="1">
        <f>((Feuil1archive!J26-MIN(Feuil1archive!J$2:J$35))/(MAX(Feuil1archive!J$2:J$35) - MIN(Feuil1archive!J$2:J$35)))</f>
        <v>0.51006711409395977</v>
      </c>
      <c r="I25" s="1">
        <f>((Feuil1archive!K26-MIN(Feuil1archive!K$2:K$35))/(MAX(Feuil1archive!K$2:K$35) - MIN(Feuil1archive!K$2:K$35)))</f>
        <v>0.24223094537127904</v>
      </c>
      <c r="J25" s="1">
        <f>((Feuil1archive!L26-MIN(Feuil1archive!L$2:L$35))/(MAX(Feuil1archive!L$2:L$35) - MIN(Feuil1archive!L$2:L$35)))</f>
        <v>0.42118096045796671</v>
      </c>
      <c r="K25" s="1">
        <f>((Feuil1archive!M26-MIN(Feuil1archive!M$2:M$35))/(MAX(Feuil1archive!M$2:M$35) - MIN(Feuil1archive!M$2:M$35)))</f>
        <v>0.23815487372156127</v>
      </c>
      <c r="L25" s="1">
        <f>((Feuil1archive!N26-MIN(Feuil1archive!N$2:N$35))/(MAX(Feuil1archive!N$2:N$35) - MIN(Feuil1archive!N$2:N$35)))</f>
        <v>0.26815101645692158</v>
      </c>
      <c r="M25" s="1">
        <f>((Feuil1archive!O26-MIN(Feuil1archive!O$2:O$35))/(MAX(Feuil1archive!O$2:O$35) - MIN(Feuil1archive!O$2:O$35)))</f>
        <v>0.5982142857142857</v>
      </c>
      <c r="N25" s="1">
        <f>((Feuil1archive!P26-MIN(Feuil1archive!P$2:P$35))/(MAX(Feuil1archive!P$2:P$35) - MIN(Feuil1archive!P$2:P$35)))</f>
        <v>0.70771513353115723</v>
      </c>
      <c r="O25" s="1">
        <f>((Feuil1archive!Q26-MIN(Feuil1archive!Q$2:Q$35))/(MAX(Feuil1archive!Q$2:Q$35) - MIN(Feuil1archive!Q$2:Q$35)))</f>
        <v>0.70112016293279023</v>
      </c>
    </row>
    <row r="26" spans="1:15" x14ac:dyDescent="0.3">
      <c r="A26" s="22" t="s">
        <v>46</v>
      </c>
      <c r="B26" s="1">
        <f>((Feuil1archive!B27-MIN(Feuil1archive!B$2:B$35))/(MAX(Feuil1archive!B$2:B$35) - MIN(Feuil1archive!B$2:B$35)))</f>
        <v>0.45412643866252117</v>
      </c>
      <c r="C26" s="1">
        <f>((Feuil1archive!C27-MIN(Feuil1archive!C$2:C$35))/(MAX(Feuil1archive!C$2:C$35) - MIN(Feuil1archive!C$2:C$35)))</f>
        <v>0.63598036112364542</v>
      </c>
      <c r="D26" s="1">
        <f>((Feuil1archive!D27-MIN(Feuil1archive!D$2:D$35))/(MAX(Feuil1archive!D$2:D$35) - MIN(Feuil1archive!D$2:D$35)))</f>
        <v>0.21974625232546166</v>
      </c>
      <c r="E26" s="1">
        <f>((Feuil1archive!E27-MIN(Feuil1archive!E$2:E$35))/(MAX(Feuil1archive!E$2:E$35) - MIN(Feuil1archive!E$2:E$35)))</f>
        <v>0.52324794539356256</v>
      </c>
      <c r="F26" s="1">
        <f>((Feuil1archive!G27-MIN(Feuil1archive!G$2:G$35))/(MAX(Feuil1archive!G$2:G$35) - MIN(Feuil1archive!G$2:G$35)))</f>
        <v>0.36896647380518349</v>
      </c>
      <c r="G26" s="1">
        <f>((Feuil1archive!H27-MIN(Feuil1archive!H$2:H$35))/(MAX(Feuil1archive!H$2:H$35) - MIN(Feuil1archive!H$2:H$35)))</f>
        <v>0.56411412924105453</v>
      </c>
      <c r="H26" s="1">
        <f>((Feuil1archive!J27-MIN(Feuil1archive!J$2:J$35))/(MAX(Feuil1archive!J$2:J$35) - MIN(Feuil1archive!J$2:J$35)))</f>
        <v>0.51006711409395977</v>
      </c>
      <c r="I26" s="1">
        <f>((Feuil1archive!K27-MIN(Feuil1archive!K$2:K$35))/(MAX(Feuil1archive!K$2:K$35) - MIN(Feuil1archive!K$2:K$35)))</f>
        <v>0.28655544651619236</v>
      </c>
      <c r="J26" s="1">
        <f>((Feuil1archive!L27-MIN(Feuil1archive!L$2:L$35))/(MAX(Feuil1archive!L$2:L$35) - MIN(Feuil1archive!L$2:L$35)))</f>
        <v>0.42118096045796671</v>
      </c>
      <c r="K26" s="1">
        <f>((Feuil1archive!M27-MIN(Feuil1archive!M$2:M$35))/(MAX(Feuil1archive!M$2:M$35) - MIN(Feuil1archive!M$2:M$35)))</f>
        <v>0.23815487372156127</v>
      </c>
      <c r="L26" s="1">
        <f>((Feuil1archive!N27-MIN(Feuil1archive!N$2:N$35))/(MAX(Feuil1archive!N$2:N$35) - MIN(Feuil1archive!N$2:N$35)))</f>
        <v>0.26815101645692158</v>
      </c>
      <c r="M26" s="1">
        <f>((Feuil1archive!O27-MIN(Feuil1archive!O$2:O$35))/(MAX(Feuil1archive!O$2:O$35) - MIN(Feuil1archive!O$2:O$35)))</f>
        <v>0.59077380952380953</v>
      </c>
      <c r="N26" s="1">
        <f>((Feuil1archive!P27-MIN(Feuil1archive!P$2:P$35))/(MAX(Feuil1archive!P$2:P$35) - MIN(Feuil1archive!P$2:P$35)))</f>
        <v>0.6708704253214639</v>
      </c>
      <c r="O26" s="1">
        <f>((Feuil1archive!Q27-MIN(Feuil1archive!Q$2:Q$35))/(MAX(Feuil1archive!Q$2:Q$35) - MIN(Feuil1archive!Q$2:Q$35)))</f>
        <v>0.73217922606924646</v>
      </c>
    </row>
    <row r="27" spans="1:15" x14ac:dyDescent="0.3">
      <c r="A27" s="22" t="s">
        <v>47</v>
      </c>
      <c r="B27" s="1">
        <f>((Feuil1archive!B28-MIN(Feuil1archive!B$2:B$35))/(MAX(Feuil1archive!B$2:B$35) - MIN(Feuil1archive!B$2:B$35)))</f>
        <v>0.45410371097656327</v>
      </c>
      <c r="C27" s="1">
        <f>((Feuil1archive!C28-MIN(Feuil1archive!C$2:C$35))/(MAX(Feuil1archive!C$2:C$35) - MIN(Feuil1archive!C$2:C$35)))</f>
        <v>0.61725742687616603</v>
      </c>
      <c r="D27" s="1">
        <f>((Feuil1archive!D28-MIN(Feuil1archive!D$2:D$35))/(MAX(Feuil1archive!D$2:D$35) - MIN(Feuil1archive!D$2:D$35)))</f>
        <v>0.22635451408924503</v>
      </c>
      <c r="E27" s="1">
        <f>((Feuil1archive!E28-MIN(Feuil1archive!E$2:E$35))/(MAX(Feuil1archive!E$2:E$35) - MIN(Feuil1archive!E$2:E$35)))</f>
        <v>0.52324794539356256</v>
      </c>
      <c r="F27" s="1">
        <f>((Feuil1archive!G28-MIN(Feuil1archive!G$2:G$35))/(MAX(Feuil1archive!G$2:G$35) - MIN(Feuil1archive!G$2:G$35)))</f>
        <v>0.36892684473329634</v>
      </c>
      <c r="G27" s="1">
        <f>((Feuil1archive!H28-MIN(Feuil1archive!H$2:H$35))/(MAX(Feuil1archive!H$2:H$35) - MIN(Feuil1archive!H$2:H$35)))</f>
        <v>0.56421186411052715</v>
      </c>
      <c r="H27" s="1">
        <f>((Feuil1archive!J28-MIN(Feuil1archive!J$2:J$35))/(MAX(Feuil1archive!J$2:J$35) - MIN(Feuil1archive!J$2:J$35)))</f>
        <v>0.51006711409395977</v>
      </c>
      <c r="I27" s="1">
        <f>((Feuil1archive!K28-MIN(Feuil1archive!K$2:K$35))/(MAX(Feuil1archive!K$2:K$35) - MIN(Feuil1archive!K$2:K$35)))</f>
        <v>0.30062152437029765</v>
      </c>
      <c r="J27" s="1">
        <f>((Feuil1archive!L28-MIN(Feuil1archive!L$2:L$35))/(MAX(Feuil1archive!L$2:L$35) - MIN(Feuil1archive!L$2:L$35)))</f>
        <v>0.42118096045796671</v>
      </c>
      <c r="K27" s="1">
        <f>((Feuil1archive!M28-MIN(Feuil1archive!M$2:M$35))/(MAX(Feuil1archive!M$2:M$35) - MIN(Feuil1archive!M$2:M$35)))</f>
        <v>0.23815487372156127</v>
      </c>
      <c r="L27" s="1">
        <f>((Feuil1archive!N28-MIN(Feuil1archive!N$2:N$35))/(MAX(Feuil1archive!N$2:N$35) - MIN(Feuil1archive!N$2:N$35)))</f>
        <v>0.31461761858664083</v>
      </c>
      <c r="M27" s="1">
        <f>((Feuil1archive!O28-MIN(Feuil1archive!O$2:O$35))/(MAX(Feuil1archive!O$2:O$35) - MIN(Feuil1archive!O$2:O$35)))</f>
        <v>0.59077380952380953</v>
      </c>
      <c r="N27" s="1">
        <f>((Feuil1archive!P28-MIN(Feuil1archive!P$2:P$35))/(MAX(Feuil1archive!P$2:P$35) - MIN(Feuil1archive!P$2:P$35)))</f>
        <v>0.58382789317507422</v>
      </c>
      <c r="O27" s="1">
        <f>((Feuil1archive!Q28-MIN(Feuil1archive!Q$2:Q$35))/(MAX(Feuil1archive!Q$2:Q$35) - MIN(Feuil1archive!Q$2:Q$35)))</f>
        <v>0.70162932790224031</v>
      </c>
    </row>
    <row r="28" spans="1:15" x14ac:dyDescent="0.3">
      <c r="A28" s="22" t="s">
        <v>49</v>
      </c>
      <c r="B28" s="1">
        <f>((Feuil1archive!B29-MIN(Feuil1archive!B$2:B$35))/(MAX(Feuil1archive!B$2:B$35) - MIN(Feuil1archive!B$2:B$35)))</f>
        <v>0.55233276968672163</v>
      </c>
      <c r="C28" s="1">
        <f>((Feuil1archive!C29-MIN(Feuil1archive!C$2:C$35))/(MAX(Feuil1archive!C$2:C$35) - MIN(Feuil1archive!C$2:C$35)))</f>
        <v>0.47818239370693894</v>
      </c>
      <c r="D28" s="1">
        <f>((Feuil1archive!D29-MIN(Feuil1archive!D$2:D$35))/(MAX(Feuil1archive!D$2:D$35) - MIN(Feuil1archive!D$2:D$35)))</f>
        <v>0.44289480174017559</v>
      </c>
      <c r="E28" s="1">
        <f>((Feuil1archive!E29-MIN(Feuil1archive!E$2:E$35))/(MAX(Feuil1archive!E$2:E$35) - MIN(Feuil1archive!E$2:E$35)))</f>
        <v>0.56407037639997648</v>
      </c>
      <c r="F28" s="1">
        <f>((Feuil1archive!G29-MIN(Feuil1archive!G$2:G$35))/(MAX(Feuil1archive!G$2:G$35) - MIN(Feuil1archive!G$2:G$35)))</f>
        <v>0.50721249108345878</v>
      </c>
      <c r="G28" s="1">
        <f>((Feuil1archive!H29-MIN(Feuil1archive!H$2:H$35))/(MAX(Feuil1archive!H$2:H$35) - MIN(Feuil1archive!H$2:H$35)))</f>
        <v>0.546604717525907</v>
      </c>
      <c r="H28" s="1">
        <f>((Feuil1archive!J29-MIN(Feuil1archive!J$2:J$35))/(MAX(Feuil1archive!J$2:J$35) - MIN(Feuil1archive!J$2:J$35)))</f>
        <v>0.93288590604026844</v>
      </c>
      <c r="I28" s="1">
        <f>((Feuil1archive!K29-MIN(Feuil1archive!K$2:K$35))/(MAX(Feuil1archive!K$2:K$35) - MIN(Feuil1archive!K$2:K$35)))</f>
        <v>0.10827608766764803</v>
      </c>
      <c r="J28" s="1">
        <f>((Feuil1archive!L29-MIN(Feuil1archive!L$2:L$35))/(MAX(Feuil1archive!L$2:L$35) - MIN(Feuil1archive!L$2:L$35)))</f>
        <v>0.44725962048128909</v>
      </c>
      <c r="K28" s="1">
        <f>((Feuil1archive!M29-MIN(Feuil1archive!M$2:M$35))/(MAX(Feuil1archive!M$2:M$35) - MIN(Feuil1archive!M$2:M$35)))</f>
        <v>0.23815487372156127</v>
      </c>
      <c r="L28" s="1">
        <f>((Feuil1archive!N29-MIN(Feuil1archive!N$2:N$35))/(MAX(Feuil1archive!N$2:N$35) - MIN(Feuil1archive!N$2:N$35)))</f>
        <v>3.8722168441432718E-2</v>
      </c>
      <c r="M28" s="1">
        <f>((Feuil1archive!O29-MIN(Feuil1archive!O$2:O$35))/(MAX(Feuil1archive!O$2:O$35) - MIN(Feuil1archive!O$2:O$35)))</f>
        <v>0.18253968253968253</v>
      </c>
      <c r="N28" s="1">
        <f>((Feuil1archive!P29-MIN(Feuil1archive!P$2:P$35))/(MAX(Feuil1archive!P$2:P$35) - MIN(Feuil1archive!P$2:P$35)))</f>
        <v>0.54277942631058362</v>
      </c>
      <c r="O28" s="1">
        <f>((Feuil1archive!Q29-MIN(Feuil1archive!Q$2:Q$35))/(MAX(Feuil1archive!Q$2:Q$35) - MIN(Feuil1archive!Q$2:Q$35)))</f>
        <v>0.83503054989816705</v>
      </c>
    </row>
    <row r="29" spans="1:15" x14ac:dyDescent="0.3">
      <c r="A29" s="22" t="s">
        <v>50</v>
      </c>
      <c r="B29" s="1">
        <f>((Feuil1archive!B30-MIN(Feuil1archive!B$2:B$35))/(MAX(Feuil1archive!B$2:B$35) - MIN(Feuil1archive!B$2:B$35)))</f>
        <v>0.51061610211094755</v>
      </c>
      <c r="C29" s="1">
        <f>((Feuil1archive!C30-MIN(Feuil1archive!C$2:C$35))/(MAX(Feuil1archive!C$2:C$35) - MIN(Feuil1archive!C$2:C$35)))</f>
        <v>0.95359675648736197</v>
      </c>
      <c r="D29" s="1">
        <f>((Feuil1archive!D30-MIN(Feuil1archive!D$2:D$35))/(MAX(Feuil1archive!D$2:D$35) - MIN(Feuil1archive!D$2:D$35)))</f>
        <v>0.14595399596321398</v>
      </c>
      <c r="E29" s="1">
        <f>((Feuil1archive!E30-MIN(Feuil1archive!E$2:E$35))/(MAX(Feuil1archive!E$2:E$35) - MIN(Feuil1archive!E$2:E$35)))</f>
        <v>0.6050644332424534</v>
      </c>
      <c r="F29" s="1">
        <f>((Feuil1archive!G30-MIN(Feuil1archive!G$2:G$35))/(MAX(Feuil1archive!G$2:G$35) - MIN(Feuil1archive!G$2:G$35)))</f>
        <v>0.40134342553697394</v>
      </c>
      <c r="G29" s="1">
        <f>((Feuil1archive!H30-MIN(Feuil1archive!H$2:H$35))/(MAX(Feuil1archive!H$2:H$35) - MIN(Feuil1archive!H$2:H$35)))</f>
        <v>0.85570243058607431</v>
      </c>
      <c r="H29" s="1">
        <f>((Feuil1archive!J30-MIN(Feuil1archive!J$2:J$35))/(MAX(Feuil1archive!J$2:J$35) - MIN(Feuil1archive!J$2:J$35)))</f>
        <v>0.93288590604026844</v>
      </c>
      <c r="I29" s="1">
        <f>((Feuil1archive!K30-MIN(Feuil1archive!K$2:K$35))/(MAX(Feuil1archive!K$2:K$35) - MIN(Feuil1archive!K$2:K$35)))</f>
        <v>0.66961072947333988</v>
      </c>
      <c r="J29" s="1">
        <f>((Feuil1archive!L30-MIN(Feuil1archive!L$2:L$35))/(MAX(Feuil1archive!L$2:L$35) - MIN(Feuil1archive!L$2:L$35)))</f>
        <v>0.60606381850948798</v>
      </c>
      <c r="K29" s="1">
        <f>((Feuil1archive!M30-MIN(Feuil1archive!M$2:M$35))/(MAX(Feuil1archive!M$2:M$35) - MIN(Feuil1archive!M$2:M$35)))</f>
        <v>0.56237389549850414</v>
      </c>
      <c r="L29" s="1">
        <f>((Feuil1archive!N30-MIN(Feuil1archive!N$2:N$35))/(MAX(Feuil1archive!N$2:N$35) - MIN(Feuil1archive!N$2:N$35)))</f>
        <v>0.39883833494675702</v>
      </c>
      <c r="M29" s="1">
        <f>((Feuil1archive!O30-MIN(Feuil1archive!O$2:O$35))/(MAX(Feuil1archive!O$2:O$35) - MIN(Feuil1archive!O$2:O$35)))</f>
        <v>0.16617063492063491</v>
      </c>
      <c r="N29" s="1">
        <f>((Feuil1archive!P30-MIN(Feuil1archive!P$2:P$35))/(MAX(Feuil1archive!P$2:P$35) - MIN(Feuil1archive!P$2:P$35)))</f>
        <v>1</v>
      </c>
      <c r="O29" s="1">
        <f>((Feuil1archive!Q30-MIN(Feuil1archive!Q$2:Q$35))/(MAX(Feuil1archive!Q$2:Q$35) - MIN(Feuil1archive!Q$2:Q$35)))</f>
        <v>0.94908350305498979</v>
      </c>
    </row>
    <row r="30" spans="1:15" x14ac:dyDescent="0.3">
      <c r="A30" s="22" t="s">
        <v>51</v>
      </c>
      <c r="B30" s="1">
        <f>((Feuil1archive!B31-MIN(Feuil1archive!B$2:B$35))/(MAX(Feuil1archive!B$2:B$35) - MIN(Feuil1archive!B$2:B$35)))</f>
        <v>0.51061610211094755</v>
      </c>
      <c r="C30" s="1">
        <f>((Feuil1archive!C31-MIN(Feuil1archive!C$2:C$35))/(MAX(Feuil1archive!C$2:C$35) - MIN(Feuil1archive!C$2:C$35)))</f>
        <v>0.93931883540655037</v>
      </c>
      <c r="D30" s="1">
        <f>((Feuil1archive!D31-MIN(Feuil1archive!D$2:D$35))/(MAX(Feuil1archive!D$2:D$35) - MIN(Feuil1archive!D$2:D$35)))</f>
        <v>0.1510299071730766</v>
      </c>
      <c r="E30" s="1">
        <f>((Feuil1archive!E31-MIN(Feuil1archive!E$2:E$35))/(MAX(Feuil1archive!E$2:E$35) - MIN(Feuil1archive!E$2:E$35)))</f>
        <v>0.6050644332424534</v>
      </c>
      <c r="F30" s="1">
        <f>((Feuil1archive!G31-MIN(Feuil1archive!G$2:G$35))/(MAX(Feuil1archive!G$2:G$35) - MIN(Feuil1archive!G$2:G$35)))</f>
        <v>0.40134342553697394</v>
      </c>
      <c r="G30" s="1">
        <f>((Feuil1archive!H31-MIN(Feuil1archive!H$2:H$35))/(MAX(Feuil1archive!H$2:H$35) - MIN(Feuil1archive!H$2:H$35)))</f>
        <v>0.85570243058607431</v>
      </c>
      <c r="H30" s="1">
        <f>((Feuil1archive!J31-MIN(Feuil1archive!J$2:J$35))/(MAX(Feuil1archive!J$2:J$35) - MIN(Feuil1archive!J$2:J$35)))</f>
        <v>0.93288590604026844</v>
      </c>
      <c r="I30" s="1">
        <f>((Feuil1archive!K31-MIN(Feuil1archive!K$2:K$35))/(MAX(Feuil1archive!K$2:K$35) - MIN(Feuil1archive!K$2:K$35)))</f>
        <v>0.65080143931959433</v>
      </c>
      <c r="J30" s="1">
        <f>((Feuil1archive!L31-MIN(Feuil1archive!L$2:L$35))/(MAX(Feuil1archive!L$2:L$35) - MIN(Feuil1archive!L$2:L$35)))</f>
        <v>0.62111735397010492</v>
      </c>
      <c r="K30" s="1">
        <f>((Feuil1archive!M31-MIN(Feuil1archive!M$2:M$35))/(MAX(Feuil1archive!M$2:M$35) - MIN(Feuil1archive!M$2:M$35)))</f>
        <v>0.56237389549850414</v>
      </c>
      <c r="L30" s="1">
        <f>((Feuil1archive!N31-MIN(Feuil1archive!N$2:N$35))/(MAX(Feuil1archive!N$2:N$35) - MIN(Feuil1archive!N$2:N$35)))</f>
        <v>0.39883833494675702</v>
      </c>
      <c r="M30" s="1">
        <f>((Feuil1archive!O31-MIN(Feuil1archive!O$2:O$35))/(MAX(Feuil1archive!O$2:O$35) - MIN(Feuil1archive!O$2:O$35)))</f>
        <v>0.16617063492063491</v>
      </c>
      <c r="N30" s="1">
        <f>((Feuil1archive!P31-MIN(Feuil1archive!P$2:P$35))/(MAX(Feuil1archive!P$2:P$35) - MIN(Feuil1archive!P$2:P$35)))</f>
        <v>1</v>
      </c>
      <c r="O30" s="1">
        <f>((Feuil1archive!Q31-MIN(Feuil1archive!Q$2:Q$35))/(MAX(Feuil1archive!Q$2:Q$35) - MIN(Feuil1archive!Q$2:Q$35)))</f>
        <v>0.86354378818737276</v>
      </c>
    </row>
    <row r="31" spans="1:15" x14ac:dyDescent="0.3">
      <c r="A31" s="22" t="s">
        <v>52</v>
      </c>
      <c r="B31" s="1">
        <f>((Feuil1archive!B32-MIN(Feuil1archive!B$2:B$35))/(MAX(Feuil1archive!B$2:B$35) - MIN(Feuil1archive!B$2:B$35)))</f>
        <v>0.51099110892925326</v>
      </c>
      <c r="C31" s="1">
        <f>((Feuil1archive!C32-MIN(Feuil1archive!C$2:C$35))/(MAX(Feuil1archive!C$2:C$35) - MIN(Feuil1archive!C$2:C$35)))</f>
        <v>1</v>
      </c>
      <c r="D31" s="1">
        <f>((Feuil1archive!D32-MIN(Feuil1archive!D$2:D$35))/(MAX(Feuil1archive!D$2:D$35) - MIN(Feuil1archive!D$2:D$35)))</f>
        <v>0.13024740278552599</v>
      </c>
      <c r="E31" s="1">
        <f>((Feuil1archive!E32-MIN(Feuil1archive!E$2:E$35))/(MAX(Feuil1archive!E$2:E$35) - MIN(Feuil1archive!E$2:E$35)))</f>
        <v>0.6050644332424534</v>
      </c>
      <c r="F31" s="1">
        <f>((Feuil1archive!G32-MIN(Feuil1archive!G$2:G$35))/(MAX(Feuil1archive!G$2:G$35) - MIN(Feuil1archive!G$2:G$35)))</f>
        <v>0.40199730522311167</v>
      </c>
      <c r="G31" s="1">
        <f>((Feuil1archive!H32-MIN(Feuil1archive!H$2:H$35))/(MAX(Feuil1archive!H$2:H$35) - MIN(Feuil1archive!H$2:H$35)))</f>
        <v>0.85393060167969459</v>
      </c>
      <c r="H31" s="1">
        <f>((Feuil1archive!J32-MIN(Feuil1archive!J$2:J$35))/(MAX(Feuil1archive!J$2:J$35) - MIN(Feuil1archive!J$2:J$35)))</f>
        <v>0.93288590604026844</v>
      </c>
      <c r="I31" s="1">
        <f>((Feuil1archive!K32-MIN(Feuil1archive!K$2:K$35))/(MAX(Feuil1archive!K$2:K$35) - MIN(Feuil1archive!K$2:K$35)))</f>
        <v>1</v>
      </c>
      <c r="J31" s="1">
        <f>((Feuil1archive!L32-MIN(Feuil1archive!L$2:L$35))/(MAX(Feuil1archive!L$2:L$35) - MIN(Feuil1archive!L$2:L$35)))</f>
        <v>0.55899501749178415</v>
      </c>
      <c r="K31" s="1">
        <f>((Feuil1archive!M32-MIN(Feuil1archive!M$2:M$35))/(MAX(Feuil1archive!M$2:M$35) - MIN(Feuil1archive!M$2:M$35)))</f>
        <v>0.56237389549850414</v>
      </c>
      <c r="L31" s="1">
        <f>((Feuil1archive!N32-MIN(Feuil1archive!N$2:N$35))/(MAX(Feuil1archive!N$2:N$35) - MIN(Feuil1archive!N$2:N$35)))</f>
        <v>0.39883833494675702</v>
      </c>
      <c r="M31" s="1">
        <f>((Feuil1archive!O32-MIN(Feuil1archive!O$2:O$35))/(MAX(Feuil1archive!O$2:O$35) - MIN(Feuil1archive!O$2:O$35)))</f>
        <v>0.16617063492063491</v>
      </c>
      <c r="N31" s="1">
        <f>((Feuil1archive!P32-MIN(Feuil1archive!P$2:P$35))/(MAX(Feuil1archive!P$2:P$35) - MIN(Feuil1archive!P$2:P$35)))</f>
        <v>0.70103857566765582</v>
      </c>
      <c r="O31" s="1">
        <f>((Feuil1archive!Q32-MIN(Feuil1archive!Q$2:Q$35))/(MAX(Feuil1archive!Q$2:Q$35) - MIN(Feuil1archive!Q$2:Q$35)))</f>
        <v>1</v>
      </c>
    </row>
    <row r="32" spans="1:15" x14ac:dyDescent="0.3">
      <c r="A32" s="22" t="s">
        <v>53</v>
      </c>
      <c r="B32" s="1">
        <f>((Feuil1archive!B33-MIN(Feuil1archive!B$2:B$35))/(MAX(Feuil1archive!B$2:B$35) - MIN(Feuil1archive!B$2:B$35)))</f>
        <v>0.51060473826796859</v>
      </c>
      <c r="C32" s="1">
        <f>((Feuil1archive!C33-MIN(Feuil1archive!C$2:C$35))/(MAX(Feuil1archive!C$2:C$35) - MIN(Feuil1archive!C$2:C$35)))</f>
        <v>0.6632565782827432</v>
      </c>
      <c r="D32" s="1">
        <f>((Feuil1archive!D33-MIN(Feuil1archive!D$2:D$35))/(MAX(Feuil1archive!D$2:D$35) - MIN(Feuil1archive!D$2:D$35)))</f>
        <v>0.24914822857881666</v>
      </c>
      <c r="E32" s="1">
        <f>((Feuil1archive!E33-MIN(Feuil1archive!E$2:E$35))/(MAX(Feuil1archive!E$2:E$35) - MIN(Feuil1archive!E$2:E$35)))</f>
        <v>0.6050644332424534</v>
      </c>
      <c r="F32" s="1">
        <f>((Feuil1archive!G33-MIN(Feuil1archive!G$2:G$35))/(MAX(Feuil1archive!G$2:G$35) - MIN(Feuil1archive!G$2:G$35)))</f>
        <v>0.40132361100103037</v>
      </c>
      <c r="G32" s="1">
        <f>((Feuil1archive!H33-MIN(Feuil1archive!H$2:H$35))/(MAX(Feuil1archive!H$2:H$35) - MIN(Feuil1archive!H$2:H$35)))</f>
        <v>0.85575618225876859</v>
      </c>
      <c r="H32" s="1">
        <f>((Feuil1archive!J33-MIN(Feuil1archive!J$2:J$35))/(MAX(Feuil1archive!J$2:J$35) - MIN(Feuil1archive!J$2:J$35)))</f>
        <v>0.93288590604026844</v>
      </c>
      <c r="I32" s="1">
        <f>((Feuil1archive!K33-MIN(Feuil1archive!K$2:K$35))/(MAX(Feuil1archive!K$2:K$35) - MIN(Feuil1archive!K$2:K$35)))</f>
        <v>0.22980045796532547</v>
      </c>
      <c r="J32" s="1">
        <f>((Feuil1archive!L33-MIN(Feuil1archive!L$2:L$35))/(MAX(Feuil1archive!L$2:L$35) - MIN(Feuil1archive!L$2:L$35)))</f>
        <v>0.49305629174175764</v>
      </c>
      <c r="K32" s="1">
        <f>((Feuil1archive!M33-MIN(Feuil1archive!M$2:M$35))/(MAX(Feuil1archive!M$2:M$35) - MIN(Feuil1archive!M$2:M$35)))</f>
        <v>0.56237389549850414</v>
      </c>
      <c r="L32" s="1">
        <f>((Feuil1archive!N33-MIN(Feuil1archive!N$2:N$35))/(MAX(Feuil1archive!N$2:N$35) - MIN(Feuil1archive!N$2:N$35)))</f>
        <v>0.39883833494675702</v>
      </c>
      <c r="M32" s="1">
        <f>((Feuil1archive!O33-MIN(Feuil1archive!O$2:O$35))/(MAX(Feuil1archive!O$2:O$35) - MIN(Feuil1archive!O$2:O$35)))</f>
        <v>0.16617063492063491</v>
      </c>
      <c r="N32" s="1">
        <f>((Feuil1archive!P33-MIN(Feuil1archive!P$2:P$35))/(MAX(Feuil1archive!P$2:P$35) - MIN(Feuil1archive!P$2:P$35)))</f>
        <v>0.87512363996043518</v>
      </c>
      <c r="O32" s="1">
        <f>((Feuil1archive!Q33-MIN(Feuil1archive!Q$2:Q$35))/(MAX(Feuil1archive!Q$2:Q$35) - MIN(Feuil1archive!Q$2:Q$35)))</f>
        <v>0.65173116089613037</v>
      </c>
    </row>
    <row r="33" spans="1:15" x14ac:dyDescent="0.3">
      <c r="A33" s="22" t="s">
        <v>54</v>
      </c>
      <c r="B33" s="1">
        <f>((Feuil1archive!B34-MIN(Feuil1archive!B$2:B$35))/(MAX(Feuil1archive!B$2:B$35) - MIN(Feuil1archive!B$2:B$35)))</f>
        <v>0.51061610211094755</v>
      </c>
      <c r="C33" s="1">
        <f>((Feuil1archive!C34-MIN(Feuil1archive!C$2:C$35))/(MAX(Feuil1archive!C$2:C$35) - MIN(Feuil1archive!C$2:C$35)))</f>
        <v>0.62325145978273311</v>
      </c>
      <c r="D33" s="1">
        <f>((Feuil1archive!D34-MIN(Feuil1archive!D$2:D$35))/(MAX(Feuil1archive!D$2:D$35) - MIN(Feuil1archive!D$2:D$35)))</f>
        <v>0.26339430013479892</v>
      </c>
      <c r="E33" s="1">
        <f>((Feuil1archive!E34-MIN(Feuil1archive!E$2:E$35))/(MAX(Feuil1archive!E$2:E$35) - MIN(Feuil1archive!E$2:E$35)))</f>
        <v>0.6050644332424534</v>
      </c>
      <c r="F33" s="1">
        <f>((Feuil1archive!G34-MIN(Feuil1archive!G$2:G$35))/(MAX(Feuil1archive!G$2:G$35) - MIN(Feuil1archive!G$2:G$35)))</f>
        <v>0.40134342553697394</v>
      </c>
      <c r="G33" s="1">
        <f>((Feuil1archive!H34-MIN(Feuil1archive!H$2:H$35))/(MAX(Feuil1archive!H$2:H$35) - MIN(Feuil1archive!H$2:H$35)))</f>
        <v>0.85570243058607431</v>
      </c>
      <c r="H33" s="1">
        <f>((Feuil1archive!J34-MIN(Feuil1archive!J$2:J$35))/(MAX(Feuil1archive!J$2:J$35) - MIN(Feuil1archive!J$2:J$35)))</f>
        <v>0.93288590604026844</v>
      </c>
      <c r="I33" s="1">
        <f>((Feuil1archive!K34-MIN(Feuil1archive!K$2:K$35))/(MAX(Feuil1archive!K$2:K$35) - MIN(Feuil1archive!K$2:K$35)))</f>
        <v>0.19414458619561661</v>
      </c>
      <c r="J33" s="1">
        <f>((Feuil1archive!L34-MIN(Feuil1archive!L$2:L$35))/(MAX(Feuil1archive!L$2:L$35) - MIN(Feuil1archive!L$2:L$35)))</f>
        <v>0.49793278914449274</v>
      </c>
      <c r="K33" s="1">
        <f>((Feuil1archive!M34-MIN(Feuil1archive!M$2:M$35))/(MAX(Feuil1archive!M$2:M$35) - MIN(Feuil1archive!M$2:M$35)))</f>
        <v>0.56237389549850414</v>
      </c>
      <c r="L33" s="1">
        <f>((Feuil1archive!N34-MIN(Feuil1archive!N$2:N$35))/(MAX(Feuil1archive!N$2:N$35) - MIN(Feuil1archive!N$2:N$35)))</f>
        <v>0.39883833494675702</v>
      </c>
      <c r="M33" s="1">
        <f>((Feuil1archive!O34-MIN(Feuil1archive!O$2:O$35))/(MAX(Feuil1archive!O$2:O$35) - MIN(Feuil1archive!O$2:O$35)))</f>
        <v>0.16617063492063491</v>
      </c>
      <c r="N33" s="1">
        <f>((Feuil1archive!P34-MIN(Feuil1archive!P$2:P$35))/(MAX(Feuil1archive!P$2:P$35) - MIN(Feuil1archive!P$2:P$35)))</f>
        <v>0.79698318496538079</v>
      </c>
      <c r="O33" s="1">
        <f>((Feuil1archive!Q34-MIN(Feuil1archive!Q$2:Q$35))/(MAX(Feuil1archive!Q$2:Q$35) - MIN(Feuil1archive!Q$2:Q$35)))</f>
        <v>0.60947046843177188</v>
      </c>
    </row>
    <row r="34" spans="1:15" x14ac:dyDescent="0.3">
      <c r="A34" s="22" t="s">
        <v>55</v>
      </c>
      <c r="B34" s="1">
        <f>((Feuil1archive!B35-MIN(Feuil1archive!B$2:B$35))/(MAX(Feuil1archive!B$2:B$35) - MIN(Feuil1archive!B$2:B$35)))</f>
        <v>0.44676266841215301</v>
      </c>
      <c r="C34" s="1">
        <f>((Feuil1archive!C35-MIN(Feuil1archive!C$2:C$35))/(MAX(Feuil1archive!C$2:C$35) - MIN(Feuil1archive!C$2:C$35)))</f>
        <v>0.69464106518679158</v>
      </c>
      <c r="D34" s="1">
        <f>((Feuil1archive!D35-MIN(Feuil1archive!D$2:D$35))/(MAX(Feuil1archive!D$2:D$35) - MIN(Feuil1archive!D$2:D$35)))</f>
        <v>0.14803703499745005</v>
      </c>
      <c r="E34" s="1">
        <f>((Feuil1archive!E35-MIN(Feuil1archive!E$2:E$35))/(MAX(Feuil1archive!E$2:E$35) - MIN(Feuil1archive!E$2:E$35)))</f>
        <v>0.55943647882627545</v>
      </c>
      <c r="F34" s="1">
        <f>((Feuil1archive!G35-MIN(Feuil1archive!G$2:G$35))/(MAX(Feuil1archive!G$2:G$35) - MIN(Feuil1archive!G$2:G$35)))</f>
        <v>0.32688039946104464</v>
      </c>
      <c r="G34" s="1">
        <f>((Feuil1archive!H35-MIN(Feuil1archive!H$2:H$35))/(MAX(Feuil1archive!H$2:H$35) - MIN(Feuil1archive!H$2:H$35)))</f>
        <v>1</v>
      </c>
      <c r="H34" s="1">
        <f>((Feuil1archive!J35-MIN(Feuil1archive!J$2:J$35))/(MAX(Feuil1archive!J$2:J$35) - MIN(Feuil1archive!J$2:J$35)))</f>
        <v>0.93288590604026844</v>
      </c>
      <c r="I34" s="1">
        <f>((Feuil1archive!K35-MIN(Feuil1archive!K$2:K$35))/(MAX(Feuil1archive!K$2:K$35) - MIN(Feuil1archive!K$2:K$35)))</f>
        <v>0.73405299313052008</v>
      </c>
      <c r="J34" s="1">
        <f>((Feuil1archive!L35-MIN(Feuil1archive!L$2:L$35))/(MAX(Feuil1archive!L$2:L$35) - MIN(Feuil1archive!L$2:L$35)))</f>
        <v>0.44513940421923037</v>
      </c>
      <c r="K34" s="1">
        <f>((Feuil1archive!M35-MIN(Feuil1archive!M$2:M$35))/(MAX(Feuil1archive!M$2:M$35) - MIN(Feuil1archive!M$2:M$35)))</f>
        <v>1</v>
      </c>
      <c r="L34" s="1">
        <f>((Feuil1archive!N35-MIN(Feuil1archive!N$2:N$35))/(MAX(Feuil1archive!N$2:N$35) - MIN(Feuil1archive!N$2:N$35)))</f>
        <v>0.22652468538238141</v>
      </c>
      <c r="M34" s="1">
        <f>((Feuil1archive!O35-MIN(Feuil1archive!O$2:O$35))/(MAX(Feuil1archive!O$2:O$35) - MIN(Feuil1archive!O$2:O$35)))</f>
        <v>0.51537698412698407</v>
      </c>
      <c r="N34" s="1">
        <f>((Feuil1archive!P35-MIN(Feuil1archive!P$2:P$35))/(MAX(Feuil1archive!P$2:P$35) - MIN(Feuil1archive!P$2:P$35)))</f>
        <v>0.31478733926805141</v>
      </c>
      <c r="O34" s="1">
        <f>((Feuil1archive!Q35-MIN(Feuil1archive!Q$2:Q$35))/(MAX(Feuil1archive!Q$2:Q$35) - MIN(Feuil1archive!Q$2:Q$35)))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AA883-65ED-4288-9D11-90A18C3BBAF4}">
  <dimension ref="A1:Z57"/>
  <sheetViews>
    <sheetView topLeftCell="A14" zoomScaleNormal="100" workbookViewId="0">
      <pane xSplit="1" topLeftCell="B1" activePane="topRight" state="frozen"/>
      <selection pane="topRight" activeCell="H70" sqref="H70"/>
    </sheetView>
  </sheetViews>
  <sheetFormatPr baseColWidth="10" defaultRowHeight="14.4" x14ac:dyDescent="0.3"/>
  <cols>
    <col min="1" max="1" width="25.21875" bestFit="1" customWidth="1"/>
    <col min="2" max="2" width="20" customWidth="1"/>
    <col min="3" max="3" width="7.33203125" customWidth="1"/>
    <col min="4" max="5" width="11.5546875" customWidth="1"/>
    <col min="6" max="6" width="9.5546875" customWidth="1"/>
    <col min="7" max="8" width="11.5546875" customWidth="1"/>
    <col min="9" max="9" width="7.77734375" customWidth="1"/>
    <col min="10" max="14" width="11.5546875" customWidth="1"/>
    <col min="15" max="15" width="17.88671875" customWidth="1"/>
    <col min="16" max="16" width="8.44140625" bestFit="1" customWidth="1"/>
    <col min="17" max="17" width="6.77734375" bestFit="1" customWidth="1"/>
    <col min="18" max="18" width="6.6640625" customWidth="1"/>
    <col min="19" max="21" width="11.6640625" bestFit="1" customWidth="1"/>
    <col min="22" max="22" width="11.5546875" style="19"/>
    <col min="26" max="26" width="12" bestFit="1" customWidth="1"/>
  </cols>
  <sheetData>
    <row r="1" spans="1:26" ht="15" thickBot="1" x14ac:dyDescent="0.35">
      <c r="A1" s="2" t="s">
        <v>21</v>
      </c>
      <c r="B1" s="3" t="s">
        <v>26</v>
      </c>
      <c r="C1" s="3" t="s">
        <v>0</v>
      </c>
      <c r="D1" s="3" t="s">
        <v>1</v>
      </c>
      <c r="E1" s="3" t="s">
        <v>2</v>
      </c>
      <c r="F1" s="3" t="s">
        <v>59</v>
      </c>
      <c r="G1" s="3" t="s">
        <v>32</v>
      </c>
      <c r="H1" s="3" t="s">
        <v>3</v>
      </c>
      <c r="I1" s="3" t="s">
        <v>57</v>
      </c>
      <c r="J1" s="3" t="s">
        <v>4</v>
      </c>
      <c r="K1" s="2" t="s">
        <v>5</v>
      </c>
      <c r="L1" s="3" t="s">
        <v>6</v>
      </c>
      <c r="M1" s="3" t="s">
        <v>7</v>
      </c>
      <c r="N1" s="3" t="s">
        <v>8</v>
      </c>
      <c r="O1" s="3" t="s">
        <v>9</v>
      </c>
      <c r="P1" s="3" t="s">
        <v>10</v>
      </c>
      <c r="Q1" s="5" t="s">
        <v>11</v>
      </c>
      <c r="R1" s="1" t="s">
        <v>56</v>
      </c>
      <c r="S1" s="1" t="s">
        <v>24</v>
      </c>
      <c r="T1" s="1" t="s">
        <v>25</v>
      </c>
      <c r="U1" s="1" t="s">
        <v>29</v>
      </c>
      <c r="V1" s="19" t="s">
        <v>27</v>
      </c>
    </row>
    <row r="2" spans="1:26" x14ac:dyDescent="0.3">
      <c r="A2" s="14" t="s">
        <v>12</v>
      </c>
      <c r="B2" s="1">
        <f>SUM(C2:E2)</f>
        <v>16194</v>
      </c>
      <c r="C2" s="1">
        <v>2373</v>
      </c>
      <c r="D2" s="1">
        <f>4795+499</f>
        <v>5294</v>
      </c>
      <c r="E2" s="1">
        <v>8527</v>
      </c>
      <c r="F2" s="1">
        <f>SUM(C2:E2)-B2</f>
        <v>0</v>
      </c>
      <c r="G2" s="6">
        <f t="shared" ref="G2:G33" si="0">B2-E2</f>
        <v>7667</v>
      </c>
      <c r="H2" s="10">
        <v>2265</v>
      </c>
      <c r="I2" s="10">
        <f t="shared" ref="I2:I35" si="1">J2*9.81*(LN(B2/(G2)))</f>
        <v>2281.2123870086598</v>
      </c>
      <c r="J2" s="1">
        <v>311</v>
      </c>
      <c r="K2" s="4">
        <v>460</v>
      </c>
      <c r="L2" s="1">
        <v>495</v>
      </c>
      <c r="M2" s="1">
        <v>366</v>
      </c>
      <c r="N2" s="1">
        <v>29</v>
      </c>
      <c r="O2" s="1">
        <v>404</v>
      </c>
      <c r="P2" s="1">
        <f>273+346</f>
        <v>619</v>
      </c>
      <c r="Q2" s="1">
        <v>0</v>
      </c>
      <c r="R2" s="1">
        <f t="shared" ref="R2:R35" si="2">SUM(K2:Q2)-C2</f>
        <v>0</v>
      </c>
      <c r="S2" s="1">
        <v>0.112</v>
      </c>
      <c r="T2" s="1">
        <f>S2*75</f>
        <v>8.4</v>
      </c>
      <c r="U2" s="1"/>
      <c r="Z2">
        <f>K2/G2</f>
        <v>5.9997391417764445E-2</v>
      </c>
    </row>
    <row r="3" spans="1:26" x14ac:dyDescent="0.3">
      <c r="A3" s="14" t="s">
        <v>13</v>
      </c>
      <c r="B3" s="1">
        <f t="shared" ref="B3:B5" si="3">SUM(C3:E3)</f>
        <v>5038.6000000000004</v>
      </c>
      <c r="C3" s="1">
        <f>1200.7-28.8</f>
        <v>1171.9000000000001</v>
      </c>
      <c r="D3" s="1">
        <f>473.3+28.8</f>
        <v>502.1</v>
      </c>
      <c r="E3" s="1">
        <f>3223.8+42.8+98</f>
        <v>3364.6000000000004</v>
      </c>
      <c r="F3" s="1">
        <f t="shared" ref="F3:F35" si="4">SUM(C3:E3)-B3</f>
        <v>0</v>
      </c>
      <c r="G3" s="6">
        <f t="shared" si="0"/>
        <v>1674</v>
      </c>
      <c r="H3" s="10">
        <v>1910</v>
      </c>
      <c r="I3" s="10">
        <f t="shared" si="1"/>
        <v>3599.6499470379536</v>
      </c>
      <c r="J3" s="1">
        <v>333</v>
      </c>
      <c r="K3" s="4">
        <f>404.8+99.3</f>
        <v>504.1</v>
      </c>
      <c r="L3" s="1">
        <v>252.5</v>
      </c>
      <c r="M3" s="1">
        <v>125.7</v>
      </c>
      <c r="N3" s="1">
        <v>120.1</v>
      </c>
      <c r="O3" s="1">
        <v>113.5</v>
      </c>
      <c r="P3" s="1">
        <v>56</v>
      </c>
      <c r="Q3" s="1">
        <v>0</v>
      </c>
      <c r="R3" s="1">
        <f t="shared" si="2"/>
        <v>0</v>
      </c>
      <c r="S3" s="1"/>
      <c r="T3" s="1"/>
      <c r="U3" s="1"/>
      <c r="Z3">
        <f t="shared" ref="Z3:Z35" si="5">K3/G3</f>
        <v>0.30113500597371567</v>
      </c>
    </row>
    <row r="4" spans="1:26" x14ac:dyDescent="0.3">
      <c r="A4" s="14" t="s">
        <v>14</v>
      </c>
      <c r="B4" s="1">
        <f t="shared" si="3"/>
        <v>60075</v>
      </c>
      <c r="C4" s="1">
        <v>9823</v>
      </c>
      <c r="D4" s="1">
        <v>25000</v>
      </c>
      <c r="E4" s="1">
        <v>25252</v>
      </c>
      <c r="F4" s="1">
        <f t="shared" si="4"/>
        <v>0</v>
      </c>
      <c r="G4" s="6">
        <f t="shared" si="0"/>
        <v>34823</v>
      </c>
      <c r="H4" s="10">
        <v>2100</v>
      </c>
      <c r="I4" s="10">
        <f t="shared" si="1"/>
        <v>2407.296129454624</v>
      </c>
      <c r="J4" s="1">
        <v>450</v>
      </c>
      <c r="K4" s="4">
        <v>1681</v>
      </c>
      <c r="L4" s="1">
        <v>4258</v>
      </c>
      <c r="M4" s="1">
        <v>478</v>
      </c>
      <c r="N4" s="1">
        <v>934</v>
      </c>
      <c r="O4" s="1">
        <v>2017</v>
      </c>
      <c r="P4" s="1">
        <v>455</v>
      </c>
      <c r="Q4" s="1">
        <v>0</v>
      </c>
      <c r="R4" s="1">
        <f t="shared" si="2"/>
        <v>0</v>
      </c>
      <c r="S4" s="1">
        <v>2</v>
      </c>
      <c r="T4" s="1">
        <f>S4*3*24</f>
        <v>144</v>
      </c>
      <c r="U4" s="1"/>
      <c r="Z4">
        <f t="shared" si="5"/>
        <v>4.8272693334864891E-2</v>
      </c>
    </row>
    <row r="5" spans="1:26" x14ac:dyDescent="0.3">
      <c r="A5" s="14" t="s">
        <v>15</v>
      </c>
      <c r="B5" s="1">
        <f t="shared" si="3"/>
        <v>69298</v>
      </c>
      <c r="C5" s="1">
        <v>7899</v>
      </c>
      <c r="D5" s="1">
        <v>25000</v>
      </c>
      <c r="E5" s="1">
        <v>36399</v>
      </c>
      <c r="F5" s="1">
        <f t="shared" si="4"/>
        <v>0</v>
      </c>
      <c r="G5" s="6">
        <f t="shared" si="0"/>
        <v>32899</v>
      </c>
      <c r="H5" s="10">
        <v>2100</v>
      </c>
      <c r="I5" s="10">
        <f t="shared" si="1"/>
        <v>2433.6282080275387</v>
      </c>
      <c r="J5" s="1">
        <v>333</v>
      </c>
      <c r="K5" s="4">
        <v>1955</v>
      </c>
      <c r="L5" s="1">
        <v>2943</v>
      </c>
      <c r="M5" s="1">
        <v>478</v>
      </c>
      <c r="N5" s="1">
        <v>1062</v>
      </c>
      <c r="O5" s="1">
        <v>1006</v>
      </c>
      <c r="P5" s="1">
        <v>455</v>
      </c>
      <c r="Q5" s="1">
        <v>0</v>
      </c>
      <c r="R5" s="1">
        <f t="shared" si="2"/>
        <v>0</v>
      </c>
      <c r="S5" s="1">
        <v>2</v>
      </c>
      <c r="T5" s="1">
        <f>S5*3*24</f>
        <v>144</v>
      </c>
      <c r="U5" s="1"/>
      <c r="Z5">
        <f t="shared" si="5"/>
        <v>5.9424298610900025E-2</v>
      </c>
    </row>
    <row r="6" spans="1:26" x14ac:dyDescent="0.3">
      <c r="A6" s="14" t="s">
        <v>22</v>
      </c>
      <c r="B6" s="1">
        <f>SUM(C6:E6)</f>
        <v>93037</v>
      </c>
      <c r="C6" s="1">
        <f>11198+1734+60</f>
        <v>12992</v>
      </c>
      <c r="D6" s="1">
        <v>35894</v>
      </c>
      <c r="E6" s="1">
        <v>44151</v>
      </c>
      <c r="F6" s="1">
        <f t="shared" si="4"/>
        <v>0</v>
      </c>
      <c r="G6" s="6">
        <f t="shared" si="0"/>
        <v>48886</v>
      </c>
      <c r="H6" s="10">
        <v>3100</v>
      </c>
      <c r="I6" s="10">
        <f t="shared" si="1"/>
        <v>2840.7581489184909</v>
      </c>
      <c r="J6" s="1">
        <v>450</v>
      </c>
      <c r="K6" s="4">
        <v>1770</v>
      </c>
      <c r="L6" s="1">
        <v>4969</v>
      </c>
      <c r="M6" s="1">
        <v>385</v>
      </c>
      <c r="N6" s="1">
        <v>307</v>
      </c>
      <c r="O6" s="1">
        <v>420</v>
      </c>
      <c r="P6" s="1">
        <f>1469+1734+60</f>
        <v>3263</v>
      </c>
      <c r="Q6" s="1">
        <v>1878</v>
      </c>
      <c r="R6" s="1">
        <f t="shared" si="2"/>
        <v>0</v>
      </c>
      <c r="S6" s="1"/>
      <c r="T6" s="1"/>
      <c r="U6" s="1"/>
      <c r="Z6">
        <f t="shared" si="5"/>
        <v>3.6206684940473757E-2</v>
      </c>
    </row>
    <row r="7" spans="1:26" x14ac:dyDescent="0.3">
      <c r="A7" s="14" t="s">
        <v>16</v>
      </c>
      <c r="B7" s="1">
        <v>44821</v>
      </c>
      <c r="C7" s="1">
        <v>5858</v>
      </c>
      <c r="D7" s="1">
        <v>16461</v>
      </c>
      <c r="E7" s="1">
        <v>22502</v>
      </c>
      <c r="F7" s="1">
        <f t="shared" si="4"/>
        <v>0</v>
      </c>
      <c r="G7" s="6">
        <f t="shared" si="0"/>
        <v>22319</v>
      </c>
      <c r="H7" s="10">
        <v>2260</v>
      </c>
      <c r="I7" s="10">
        <f t="shared" si="1"/>
        <v>2592.325569657381</v>
      </c>
      <c r="J7" s="1">
        <v>379</v>
      </c>
      <c r="K7" s="4">
        <v>2822</v>
      </c>
      <c r="L7" s="1">
        <v>1749</v>
      </c>
      <c r="M7" s="1">
        <v>204</v>
      </c>
      <c r="N7" s="1">
        <v>817</v>
      </c>
      <c r="O7" s="1">
        <v>1</v>
      </c>
      <c r="P7" s="1">
        <v>265</v>
      </c>
      <c r="Q7" s="1">
        <v>0</v>
      </c>
      <c r="R7" s="1">
        <f t="shared" si="2"/>
        <v>0</v>
      </c>
      <c r="S7" s="1"/>
      <c r="T7" s="1"/>
      <c r="U7" s="1"/>
      <c r="Z7">
        <f t="shared" si="5"/>
        <v>0.12643935660199829</v>
      </c>
    </row>
    <row r="8" spans="1:26" x14ac:dyDescent="0.3">
      <c r="A8" s="14" t="s">
        <v>17</v>
      </c>
      <c r="B8" s="1">
        <v>60935</v>
      </c>
      <c r="C8" s="1">
        <f>9050+1764+694</f>
        <v>11508</v>
      </c>
      <c r="D8" s="1">
        <f>28475-(65469-B8)</f>
        <v>23941</v>
      </c>
      <c r="E8" s="1">
        <v>25486</v>
      </c>
      <c r="F8" s="1">
        <f t="shared" si="4"/>
        <v>0</v>
      </c>
      <c r="G8" s="6">
        <f t="shared" si="0"/>
        <v>35449</v>
      </c>
      <c r="H8" s="10">
        <v>1900</v>
      </c>
      <c r="I8" s="10">
        <f t="shared" si="1"/>
        <v>1923.7408979293918</v>
      </c>
      <c r="J8" s="1">
        <v>362</v>
      </c>
      <c r="K8" s="4">
        <v>2015</v>
      </c>
      <c r="L8" s="1">
        <v>2425</v>
      </c>
      <c r="M8" s="1">
        <v>553</v>
      </c>
      <c r="N8" s="1">
        <v>594</v>
      </c>
      <c r="O8" s="1">
        <f>777+295</f>
        <v>1072</v>
      </c>
      <c r="P8" s="1">
        <f>883+1764+694</f>
        <v>3341</v>
      </c>
      <c r="Q8" s="1">
        <v>1508</v>
      </c>
      <c r="R8" s="1">
        <f t="shared" si="2"/>
        <v>0</v>
      </c>
      <c r="S8" s="1">
        <v>2</v>
      </c>
      <c r="T8" s="1"/>
      <c r="U8" s="1"/>
      <c r="Z8">
        <f t="shared" si="5"/>
        <v>5.6842224040170385E-2</v>
      </c>
    </row>
    <row r="9" spans="1:26" x14ac:dyDescent="0.3">
      <c r="A9" s="14" t="s">
        <v>18</v>
      </c>
      <c r="B9" s="1">
        <v>56989</v>
      </c>
      <c r="C9" s="1">
        <f>8895+1741+698</f>
        <v>11334</v>
      </c>
      <c r="D9" s="1">
        <f>26357-(61524-56989)</f>
        <v>21822</v>
      </c>
      <c r="E9" s="1">
        <v>23833</v>
      </c>
      <c r="F9" s="1">
        <f t="shared" si="4"/>
        <v>0</v>
      </c>
      <c r="G9" s="6">
        <f t="shared" si="0"/>
        <v>33156</v>
      </c>
      <c r="H9" s="10">
        <v>1900</v>
      </c>
      <c r="I9" s="10">
        <f t="shared" si="1"/>
        <v>1865.0157347582269</v>
      </c>
      <c r="J9" s="1">
        <v>351</v>
      </c>
      <c r="K9" s="4">
        <v>1985</v>
      </c>
      <c r="L9" s="1">
        <v>2347</v>
      </c>
      <c r="M9" s="1">
        <v>553</v>
      </c>
      <c r="N9" s="1">
        <v>594</v>
      </c>
      <c r="O9" s="1">
        <f>777+289</f>
        <v>1066</v>
      </c>
      <c r="P9" s="1">
        <f>867+1741+698</f>
        <v>3306</v>
      </c>
      <c r="Q9" s="1">
        <v>1483</v>
      </c>
      <c r="R9" s="1">
        <f t="shared" si="2"/>
        <v>0</v>
      </c>
      <c r="S9" s="1">
        <v>2</v>
      </c>
      <c r="T9" s="1"/>
      <c r="U9" s="1"/>
      <c r="Z9">
        <f t="shared" si="5"/>
        <v>5.9868500422246354E-2</v>
      </c>
    </row>
    <row r="10" spans="1:26" x14ac:dyDescent="0.3">
      <c r="A10" s="14" t="s">
        <v>19</v>
      </c>
      <c r="B10" s="1">
        <v>45807</v>
      </c>
      <c r="C10" s="1">
        <f>7164+1286+717</f>
        <v>9167</v>
      </c>
      <c r="D10" s="1">
        <f>22028-4540</f>
        <v>17488</v>
      </c>
      <c r="E10" s="1">
        <v>19152</v>
      </c>
      <c r="F10" s="1">
        <f t="shared" si="4"/>
        <v>0</v>
      </c>
      <c r="G10" s="6">
        <f t="shared" si="0"/>
        <v>26655</v>
      </c>
      <c r="H10" s="10">
        <v>1900</v>
      </c>
      <c r="I10" s="10">
        <f t="shared" si="1"/>
        <v>1928.1559006099681</v>
      </c>
      <c r="J10" s="1">
        <v>363</v>
      </c>
      <c r="K10" s="4">
        <v>1877</v>
      </c>
      <c r="L10" s="1">
        <v>1125</v>
      </c>
      <c r="M10" s="1">
        <v>553</v>
      </c>
      <c r="N10" s="1">
        <v>594</v>
      </c>
      <c r="O10" s="1">
        <f>777+272</f>
        <v>1049</v>
      </c>
      <c r="P10" s="1">
        <f>772+1286+717</f>
        <v>2775</v>
      </c>
      <c r="Q10" s="1">
        <v>1194</v>
      </c>
      <c r="R10" s="1">
        <f t="shared" si="2"/>
        <v>0</v>
      </c>
      <c r="S10" s="1"/>
      <c r="T10" s="1"/>
      <c r="U10" s="1"/>
      <c r="Z10">
        <f t="shared" si="5"/>
        <v>7.0418308009754266E-2</v>
      </c>
    </row>
    <row r="11" spans="1:26" x14ac:dyDescent="0.3">
      <c r="A11" s="14" t="s">
        <v>20</v>
      </c>
      <c r="B11" s="1">
        <v>43803</v>
      </c>
      <c r="C11" s="1">
        <f>7094+1264+719</f>
        <v>9077</v>
      </c>
      <c r="D11" s="1">
        <f>20956-4542</f>
        <v>16414</v>
      </c>
      <c r="E11" s="1">
        <v>18312</v>
      </c>
      <c r="F11" s="1">
        <f t="shared" si="4"/>
        <v>0</v>
      </c>
      <c r="G11" s="6">
        <f t="shared" si="0"/>
        <v>25491</v>
      </c>
      <c r="H11" s="10">
        <v>1900</v>
      </c>
      <c r="I11" s="10">
        <f t="shared" si="1"/>
        <v>1927.859237978244</v>
      </c>
      <c r="J11" s="1">
        <v>363</v>
      </c>
      <c r="K11" s="4">
        <v>1860</v>
      </c>
      <c r="L11" s="1">
        <v>1095</v>
      </c>
      <c r="M11" s="1">
        <v>553</v>
      </c>
      <c r="N11" s="1">
        <v>594</v>
      </c>
      <c r="O11" s="1">
        <f>777+269</f>
        <v>1046</v>
      </c>
      <c r="P11" s="1">
        <f>764+1264+719</f>
        <v>2747</v>
      </c>
      <c r="Q11" s="1">
        <v>1182</v>
      </c>
      <c r="R11" s="1">
        <f t="shared" si="2"/>
        <v>0</v>
      </c>
      <c r="S11" s="1">
        <v>4.5</v>
      </c>
      <c r="T11" s="1"/>
      <c r="U11" s="1"/>
      <c r="Z11">
        <f t="shared" si="5"/>
        <v>7.2966929504531014E-2</v>
      </c>
    </row>
    <row r="12" spans="1:26" ht="15" thickBot="1" x14ac:dyDescent="0.35">
      <c r="A12" s="14" t="s">
        <v>58</v>
      </c>
      <c r="B12" s="1">
        <v>53600</v>
      </c>
      <c r="C12" s="1">
        <f>8016+640+119</f>
        <v>8775</v>
      </c>
      <c r="D12" s="1">
        <f>20862</f>
        <v>20862</v>
      </c>
      <c r="E12" s="1">
        <v>23963</v>
      </c>
      <c r="F12" s="1">
        <f t="shared" si="4"/>
        <v>0</v>
      </c>
      <c r="G12" s="6">
        <f t="shared" si="0"/>
        <v>29637</v>
      </c>
      <c r="H12" s="8">
        <f t="shared" ref="H12:H25" si="6">J12*9.81*(LN(B12/(G12)))</f>
        <v>2615.7037638902843</v>
      </c>
      <c r="I12" s="10">
        <f t="shared" si="1"/>
        <v>2615.7037638902843</v>
      </c>
      <c r="J12" s="1">
        <v>450</v>
      </c>
      <c r="K12" s="4">
        <v>535</v>
      </c>
      <c r="L12" s="1">
        <v>3006</v>
      </c>
      <c r="M12" s="1">
        <v>909</v>
      </c>
      <c r="N12" s="1">
        <v>731</v>
      </c>
      <c r="O12" s="1">
        <f>832+0</f>
        <v>832</v>
      </c>
      <c r="P12" s="1">
        <f>527+640+119+140</f>
        <v>1426</v>
      </c>
      <c r="Q12" s="1">
        <f>1336</f>
        <v>1336</v>
      </c>
      <c r="R12" s="1">
        <f t="shared" si="2"/>
        <v>0</v>
      </c>
      <c r="S12" s="1">
        <v>3</v>
      </c>
      <c r="T12" s="1">
        <f>S12*8.3</f>
        <v>24.900000000000002</v>
      </c>
      <c r="U12" s="1">
        <v>7.5</v>
      </c>
      <c r="Z12">
        <f t="shared" si="5"/>
        <v>1.8051759624793332E-2</v>
      </c>
    </row>
    <row r="13" spans="1:26" s="17" customFormat="1" x14ac:dyDescent="0.3">
      <c r="A13" s="18" t="s">
        <v>28</v>
      </c>
      <c r="B13" s="7">
        <f>36272+18325</f>
        <v>54597</v>
      </c>
      <c r="C13" s="7">
        <v>6692</v>
      </c>
      <c r="D13" s="7">
        <v>18325</v>
      </c>
      <c r="E13" s="7">
        <v>29580</v>
      </c>
      <c r="F13" s="1">
        <f t="shared" si="4"/>
        <v>0</v>
      </c>
      <c r="G13" s="9">
        <f t="shared" si="0"/>
        <v>25017</v>
      </c>
      <c r="H13" s="15">
        <f t="shared" si="6"/>
        <v>2771.4549820453913</v>
      </c>
      <c r="I13" s="11">
        <f t="shared" si="1"/>
        <v>2771.4549820453913</v>
      </c>
      <c r="J13" s="7">
        <v>362</v>
      </c>
      <c r="K13" s="16">
        <v>3757</v>
      </c>
      <c r="L13" s="7">
        <v>1219</v>
      </c>
      <c r="M13" s="7">
        <v>400</v>
      </c>
      <c r="N13" s="7">
        <v>199</v>
      </c>
      <c r="O13" s="7">
        <v>1</v>
      </c>
      <c r="P13" s="7">
        <f>431+685</f>
        <v>1116</v>
      </c>
      <c r="Q13" s="7">
        <v>0</v>
      </c>
      <c r="R13" s="7">
        <f t="shared" si="2"/>
        <v>0</v>
      </c>
      <c r="S13" s="9"/>
      <c r="T13" s="7"/>
      <c r="V13" s="20"/>
      <c r="Z13">
        <f t="shared" si="5"/>
        <v>0.15017787904225127</v>
      </c>
    </row>
    <row r="14" spans="1:26" x14ac:dyDescent="0.3">
      <c r="A14" s="14" t="s">
        <v>30</v>
      </c>
      <c r="B14" s="1">
        <f>35054+10808</f>
        <v>45862</v>
      </c>
      <c r="C14" s="1">
        <f>6136+1033+486</f>
        <v>7655</v>
      </c>
      <c r="D14" s="1">
        <f>10808+2294</f>
        <v>13102</v>
      </c>
      <c r="E14" s="1">
        <v>25105</v>
      </c>
      <c r="F14" s="1">
        <f t="shared" si="4"/>
        <v>0</v>
      </c>
      <c r="G14" s="6">
        <f t="shared" si="0"/>
        <v>20757</v>
      </c>
      <c r="H14" s="8">
        <f t="shared" si="6"/>
        <v>3499.6096559997736</v>
      </c>
      <c r="I14" s="10">
        <f t="shared" si="1"/>
        <v>3499.6096559997736</v>
      </c>
      <c r="J14" s="1">
        <v>450</v>
      </c>
      <c r="K14" s="4">
        <v>1113</v>
      </c>
      <c r="L14" s="1">
        <v>2362</v>
      </c>
      <c r="M14" s="1">
        <v>468</v>
      </c>
      <c r="N14" s="1">
        <v>69</v>
      </c>
      <c r="O14" s="1">
        <f>281+88</f>
        <v>369</v>
      </c>
      <c r="P14" s="1">
        <f>640+92+486+1033</f>
        <v>2251</v>
      </c>
      <c r="Q14" s="1">
        <v>1023</v>
      </c>
      <c r="R14" s="1">
        <f t="shared" si="2"/>
        <v>0</v>
      </c>
      <c r="S14" s="6"/>
      <c r="T14" s="1"/>
      <c r="U14" s="1"/>
      <c r="V14" s="19" t="s">
        <v>33</v>
      </c>
      <c r="Z14">
        <f t="shared" si="5"/>
        <v>5.3620465385171269E-2</v>
      </c>
    </row>
    <row r="15" spans="1:26" x14ac:dyDescent="0.3">
      <c r="A15" s="14" t="s">
        <v>31</v>
      </c>
      <c r="B15" s="1">
        <f>10790+39791+31330</f>
        <v>81911</v>
      </c>
      <c r="C15" s="1">
        <f>9226+500+148</f>
        <v>9874</v>
      </c>
      <c r="D15" s="1">
        <f>31330+10790+148</f>
        <v>42268</v>
      </c>
      <c r="E15" s="1">
        <v>29769</v>
      </c>
      <c r="F15" s="1">
        <f t="shared" si="4"/>
        <v>0</v>
      </c>
      <c r="G15" s="6">
        <f t="shared" si="0"/>
        <v>52142</v>
      </c>
      <c r="H15" s="8">
        <f t="shared" si="6"/>
        <v>1993.8642207560945</v>
      </c>
      <c r="I15" s="10">
        <f t="shared" si="1"/>
        <v>1993.8642207560945</v>
      </c>
      <c r="J15" s="1">
        <v>450</v>
      </c>
      <c r="K15" s="4">
        <v>2432</v>
      </c>
      <c r="L15" s="1">
        <v>1826</v>
      </c>
      <c r="M15" s="1">
        <v>336</v>
      </c>
      <c r="N15" s="1">
        <v>145</v>
      </c>
      <c r="O15" s="1">
        <f>1008+160</f>
        <v>1168</v>
      </c>
      <c r="P15" s="1">
        <f>1781+500+148</f>
        <v>2429</v>
      </c>
      <c r="Q15" s="1">
        <v>1538</v>
      </c>
      <c r="R15" s="1">
        <f t="shared" si="2"/>
        <v>0</v>
      </c>
      <c r="S15" s="6"/>
      <c r="T15" s="1"/>
      <c r="U15" s="1"/>
      <c r="Z15">
        <f t="shared" si="5"/>
        <v>4.6641862605960649E-2</v>
      </c>
    </row>
    <row r="16" spans="1:26" x14ac:dyDescent="0.3">
      <c r="A16" s="14" t="s">
        <v>34</v>
      </c>
      <c r="B16" s="1">
        <f>34504+7755</f>
        <v>42259</v>
      </c>
      <c r="C16" s="1">
        <f>4722+95+655</f>
        <v>5472</v>
      </c>
      <c r="D16" s="1">
        <f>7755+1590</f>
        <v>9345</v>
      </c>
      <c r="E16" s="1">
        <v>27442</v>
      </c>
      <c r="F16" s="1">
        <f t="shared" si="4"/>
        <v>0</v>
      </c>
      <c r="G16" s="6">
        <f t="shared" si="0"/>
        <v>14817</v>
      </c>
      <c r="H16" s="8">
        <f t="shared" si="6"/>
        <v>3320.8578885135848</v>
      </c>
      <c r="I16" s="10">
        <f t="shared" si="1"/>
        <v>3320.8578885135848</v>
      </c>
      <c r="J16" s="1">
        <v>323</v>
      </c>
      <c r="K16" s="4">
        <v>1011</v>
      </c>
      <c r="L16" s="1">
        <v>1616</v>
      </c>
      <c r="M16" s="1">
        <v>306</v>
      </c>
      <c r="N16" s="1">
        <v>69</v>
      </c>
      <c r="O16" s="1">
        <f>124+162</f>
        <v>286</v>
      </c>
      <c r="P16" s="1">
        <f>555+655+95+92</f>
        <v>1397</v>
      </c>
      <c r="Q16" s="1">
        <f>787</f>
        <v>787</v>
      </c>
      <c r="R16" s="1">
        <f t="shared" si="2"/>
        <v>0</v>
      </c>
      <c r="S16" s="1"/>
      <c r="T16" s="1"/>
      <c r="U16" s="1"/>
      <c r="V16" s="19" t="s">
        <v>33</v>
      </c>
      <c r="Z16">
        <f t="shared" si="5"/>
        <v>6.8232435715731926E-2</v>
      </c>
    </row>
    <row r="17" spans="1:26" x14ac:dyDescent="0.3">
      <c r="A17" s="14" t="s">
        <v>35</v>
      </c>
      <c r="B17" s="1">
        <f>34018+7812</f>
        <v>41830</v>
      </c>
      <c r="C17" s="1">
        <f>5621+1968+95</f>
        <v>7684</v>
      </c>
      <c r="D17" s="1">
        <f>7812+1590</f>
        <v>9402</v>
      </c>
      <c r="E17" s="1">
        <v>24744</v>
      </c>
      <c r="F17" s="1">
        <f t="shared" si="4"/>
        <v>0</v>
      </c>
      <c r="G17" s="6">
        <f t="shared" si="0"/>
        <v>17086</v>
      </c>
      <c r="H17" s="8">
        <f t="shared" si="6"/>
        <v>3188.3837747817079</v>
      </c>
      <c r="I17" s="10">
        <f t="shared" si="1"/>
        <v>3188.3837747817079</v>
      </c>
      <c r="J17" s="6">
        <v>363</v>
      </c>
      <c r="K17" s="4">
        <v>1355</v>
      </c>
      <c r="L17" s="1">
        <v>2013</v>
      </c>
      <c r="M17" s="1">
        <v>306</v>
      </c>
      <c r="N17" s="1">
        <v>69</v>
      </c>
      <c r="O17" s="1">
        <f>124+141</f>
        <v>265</v>
      </c>
      <c r="P17" s="1">
        <f>584+1968+95+92</f>
        <v>2739</v>
      </c>
      <c r="Q17" s="1">
        <f>937</f>
        <v>937</v>
      </c>
      <c r="R17" s="1">
        <f t="shared" si="2"/>
        <v>0</v>
      </c>
      <c r="S17" s="1"/>
      <c r="T17" s="1"/>
      <c r="U17" s="1"/>
      <c r="V17" s="19" t="s">
        <v>40</v>
      </c>
      <c r="Z17">
        <f t="shared" si="5"/>
        <v>7.9304693901439779E-2</v>
      </c>
    </row>
    <row r="18" spans="1:26" x14ac:dyDescent="0.3">
      <c r="A18" s="14" t="s">
        <v>36</v>
      </c>
      <c r="B18" s="1">
        <f>15154+7737</f>
        <v>22891</v>
      </c>
      <c r="C18" s="1">
        <f>2761+250+95</f>
        <v>3106</v>
      </c>
      <c r="D18" s="1">
        <f>7737+1590</f>
        <v>9327</v>
      </c>
      <c r="E18" s="1">
        <f>10458</f>
        <v>10458</v>
      </c>
      <c r="F18" s="1">
        <f t="shared" si="4"/>
        <v>0</v>
      </c>
      <c r="G18" s="6">
        <f t="shared" si="0"/>
        <v>12433</v>
      </c>
      <c r="H18" s="8">
        <f t="shared" si="6"/>
        <v>1934.0987736564762</v>
      </c>
      <c r="I18" s="10">
        <f t="shared" si="1"/>
        <v>1934.0987736564762</v>
      </c>
      <c r="J18" s="1">
        <v>323</v>
      </c>
      <c r="K18" s="4">
        <v>451</v>
      </c>
      <c r="L18" s="1">
        <v>677</v>
      </c>
      <c r="M18" s="1">
        <v>306</v>
      </c>
      <c r="N18" s="1">
        <v>69</v>
      </c>
      <c r="O18" s="1">
        <f>124+86</f>
        <v>210</v>
      </c>
      <c r="P18" s="1">
        <f>496+250+95+92</f>
        <v>933</v>
      </c>
      <c r="Q18" s="1">
        <v>460</v>
      </c>
      <c r="R18" s="1">
        <f t="shared" si="2"/>
        <v>0</v>
      </c>
      <c r="S18" s="1"/>
      <c r="T18" s="1"/>
      <c r="U18" s="1"/>
      <c r="Z18">
        <f t="shared" si="5"/>
        <v>3.6274430949891419E-2</v>
      </c>
    </row>
    <row r="19" spans="1:26" x14ac:dyDescent="0.3">
      <c r="A19" s="14" t="s">
        <v>37</v>
      </c>
      <c r="B19" s="1">
        <f>15472+7667</f>
        <v>23139</v>
      </c>
      <c r="C19" s="1">
        <f>3442+995+95</f>
        <v>4532</v>
      </c>
      <c r="D19" s="1">
        <f>7667+1590</f>
        <v>9257</v>
      </c>
      <c r="E19" s="1">
        <v>9350</v>
      </c>
      <c r="F19" s="1">
        <f t="shared" si="4"/>
        <v>0</v>
      </c>
      <c r="G19" s="6">
        <f t="shared" si="0"/>
        <v>13789</v>
      </c>
      <c r="H19" s="8">
        <f t="shared" si="6"/>
        <v>1843.3612424096523</v>
      </c>
      <c r="I19" s="10">
        <f t="shared" si="1"/>
        <v>1843.3612424096523</v>
      </c>
      <c r="J19" s="6">
        <v>363</v>
      </c>
      <c r="K19" s="4">
        <v>717</v>
      </c>
      <c r="L19" s="1">
        <v>955</v>
      </c>
      <c r="M19" s="1">
        <v>306</v>
      </c>
      <c r="N19" s="1">
        <v>69</v>
      </c>
      <c r="O19" s="1">
        <f>124+95</f>
        <v>219</v>
      </c>
      <c r="P19" s="1">
        <f>510+995+95+92</f>
        <v>1692</v>
      </c>
      <c r="Q19" s="1">
        <v>574</v>
      </c>
      <c r="R19" s="1">
        <f t="shared" si="2"/>
        <v>0</v>
      </c>
      <c r="S19" s="1"/>
      <c r="T19" s="1"/>
      <c r="U19" s="1"/>
      <c r="Z19">
        <f t="shared" si="5"/>
        <v>5.199796939589528E-2</v>
      </c>
    </row>
    <row r="20" spans="1:26" x14ac:dyDescent="0.3">
      <c r="A20" s="14" t="s">
        <v>38</v>
      </c>
      <c r="B20" s="1">
        <f>13564+9600</f>
        <v>23164</v>
      </c>
      <c r="C20" s="1">
        <f>2761+250+95</f>
        <v>3106</v>
      </c>
      <c r="D20" s="1">
        <v>9600</v>
      </c>
      <c r="E20" s="1">
        <v>10458</v>
      </c>
      <c r="F20" s="1">
        <f t="shared" si="4"/>
        <v>0</v>
      </c>
      <c r="G20" s="6">
        <f t="shared" si="0"/>
        <v>12706</v>
      </c>
      <c r="H20" s="8">
        <f t="shared" si="6"/>
        <v>1902.8416147795385</v>
      </c>
      <c r="I20" s="10">
        <f t="shared" si="1"/>
        <v>1902.8416147795385</v>
      </c>
      <c r="J20" s="1">
        <v>323</v>
      </c>
      <c r="K20" s="4">
        <v>451</v>
      </c>
      <c r="L20" s="1">
        <v>677</v>
      </c>
      <c r="M20" s="1">
        <v>306</v>
      </c>
      <c r="N20" s="1">
        <v>69</v>
      </c>
      <c r="O20" s="1">
        <f>124+86</f>
        <v>210</v>
      </c>
      <c r="P20" s="1">
        <f>496+250+95+92</f>
        <v>933</v>
      </c>
      <c r="Q20" s="1">
        <v>460</v>
      </c>
      <c r="R20" s="1">
        <f t="shared" si="2"/>
        <v>0</v>
      </c>
      <c r="S20" s="1"/>
      <c r="T20" s="1"/>
      <c r="U20" s="1"/>
      <c r="Z20">
        <f t="shared" si="5"/>
        <v>3.5495041712576739E-2</v>
      </c>
    </row>
    <row r="21" spans="1:26" x14ac:dyDescent="0.3">
      <c r="A21" s="14" t="s">
        <v>39</v>
      </c>
      <c r="B21" s="1">
        <f>13882+9313</f>
        <v>23195</v>
      </c>
      <c r="C21" s="1">
        <f>3442+995+95</f>
        <v>4532</v>
      </c>
      <c r="D21" s="1">
        <v>9313</v>
      </c>
      <c r="E21" s="1">
        <v>9350</v>
      </c>
      <c r="F21" s="1">
        <f t="shared" si="4"/>
        <v>0</v>
      </c>
      <c r="G21" s="6">
        <f t="shared" si="0"/>
        <v>13845</v>
      </c>
      <c r="H21" s="8">
        <f t="shared" si="6"/>
        <v>1837.5362833866116</v>
      </c>
      <c r="I21" s="10">
        <f t="shared" si="1"/>
        <v>1837.5362833866116</v>
      </c>
      <c r="J21" s="6">
        <v>363</v>
      </c>
      <c r="K21" s="4">
        <v>717</v>
      </c>
      <c r="L21" s="1">
        <v>955</v>
      </c>
      <c r="M21" s="1">
        <v>306</v>
      </c>
      <c r="N21" s="1">
        <v>69</v>
      </c>
      <c r="O21" s="1">
        <f>124+95</f>
        <v>219</v>
      </c>
      <c r="P21" s="1">
        <f>510+995+95+92</f>
        <v>1692</v>
      </c>
      <c r="Q21" s="1">
        <v>574</v>
      </c>
      <c r="R21" s="1">
        <f t="shared" si="2"/>
        <v>0</v>
      </c>
      <c r="S21" s="1"/>
      <c r="T21" s="1"/>
      <c r="U21" s="1"/>
      <c r="Z21">
        <f t="shared" si="5"/>
        <v>5.1787648970747564E-2</v>
      </c>
    </row>
    <row r="22" spans="1:26" x14ac:dyDescent="0.3">
      <c r="A22" s="14" t="s">
        <v>41</v>
      </c>
      <c r="B22" s="1">
        <f>13564+9600</f>
        <v>23164</v>
      </c>
      <c r="C22" s="1">
        <f>2761+250+95</f>
        <v>3106</v>
      </c>
      <c r="D22" s="1">
        <f>9600</f>
        <v>9600</v>
      </c>
      <c r="E22" s="1">
        <v>10458</v>
      </c>
      <c r="F22" s="1">
        <f t="shared" si="4"/>
        <v>0</v>
      </c>
      <c r="G22" s="6">
        <f t="shared" si="0"/>
        <v>12706</v>
      </c>
      <c r="H22" s="8">
        <f t="shared" si="6"/>
        <v>1902.8416147795385</v>
      </c>
      <c r="I22" s="10">
        <f t="shared" si="1"/>
        <v>1902.8416147795385</v>
      </c>
      <c r="J22" s="1">
        <v>323</v>
      </c>
      <c r="K22" s="4">
        <v>451</v>
      </c>
      <c r="L22" s="1">
        <v>677</v>
      </c>
      <c r="M22" s="1">
        <v>306</v>
      </c>
      <c r="N22" s="1">
        <v>69</v>
      </c>
      <c r="O22" s="1">
        <f>124+86</f>
        <v>210</v>
      </c>
      <c r="P22" s="1">
        <f>496+250+95+92</f>
        <v>933</v>
      </c>
      <c r="Q22" s="1">
        <v>460</v>
      </c>
      <c r="R22" s="1">
        <f t="shared" si="2"/>
        <v>0</v>
      </c>
      <c r="S22" s="1"/>
      <c r="T22" s="1"/>
      <c r="U22" s="1"/>
      <c r="Z22">
        <f t="shared" si="5"/>
        <v>3.5495041712576739E-2</v>
      </c>
    </row>
    <row r="23" spans="1:26" x14ac:dyDescent="0.3">
      <c r="A23" s="14" t="s">
        <v>42</v>
      </c>
      <c r="B23" s="1">
        <f>33067+14451</f>
        <v>47518</v>
      </c>
      <c r="C23" s="1">
        <f>4739+658+95</f>
        <v>5492</v>
      </c>
      <c r="D23" s="1">
        <v>14451</v>
      </c>
      <c r="E23" s="1">
        <v>27575</v>
      </c>
      <c r="F23" s="1">
        <f t="shared" si="4"/>
        <v>0</v>
      </c>
      <c r="G23" s="6">
        <f t="shared" si="0"/>
        <v>19943</v>
      </c>
      <c r="H23" s="8">
        <f t="shared" si="6"/>
        <v>3091.7944374111398</v>
      </c>
      <c r="I23" s="10">
        <f t="shared" si="1"/>
        <v>3091.7944374111398</v>
      </c>
      <c r="J23" s="6">
        <v>363</v>
      </c>
      <c r="K23" s="4">
        <v>1017</v>
      </c>
      <c r="L23" s="1">
        <v>1624</v>
      </c>
      <c r="M23" s="1">
        <v>306</v>
      </c>
      <c r="N23" s="1">
        <v>69</v>
      </c>
      <c r="O23" s="1">
        <f>124+162</f>
        <v>286</v>
      </c>
      <c r="P23" s="1">
        <f>555+658+95+92</f>
        <v>1400</v>
      </c>
      <c r="Q23" s="1">
        <v>790</v>
      </c>
      <c r="R23" s="1">
        <f t="shared" si="2"/>
        <v>0</v>
      </c>
      <c r="S23" s="1"/>
      <c r="V23" s="19" t="s">
        <v>43</v>
      </c>
      <c r="Z23">
        <f t="shared" si="5"/>
        <v>5.0995336709622426E-2</v>
      </c>
    </row>
    <row r="24" spans="1:26" x14ac:dyDescent="0.3">
      <c r="A24" s="14" t="s">
        <v>60</v>
      </c>
      <c r="B24" s="1">
        <f>33067+14234</f>
        <v>47301</v>
      </c>
      <c r="C24" s="1">
        <f>4739+658+95</f>
        <v>5492</v>
      </c>
      <c r="D24" s="1">
        <f>14234</f>
        <v>14234</v>
      </c>
      <c r="E24" s="1">
        <v>27575</v>
      </c>
      <c r="F24" s="1">
        <f t="shared" si="4"/>
        <v>0</v>
      </c>
      <c r="G24" s="6">
        <f t="shared" si="0"/>
        <v>19726</v>
      </c>
      <c r="H24" s="8">
        <f t="shared" si="6"/>
        <v>2771.2643882136222</v>
      </c>
      <c r="I24" s="10">
        <f t="shared" si="1"/>
        <v>2771.2643882136222</v>
      </c>
      <c r="J24" s="6">
        <v>323</v>
      </c>
      <c r="K24" s="4">
        <v>1017</v>
      </c>
      <c r="L24" s="1">
        <v>1624</v>
      </c>
      <c r="M24" s="1">
        <v>306</v>
      </c>
      <c r="N24" s="1">
        <v>69</v>
      </c>
      <c r="O24" s="1">
        <f>124+162</f>
        <v>286</v>
      </c>
      <c r="P24" s="1">
        <f>555+658+95+92</f>
        <v>1400</v>
      </c>
      <c r="Q24" s="1">
        <f>790</f>
        <v>790</v>
      </c>
      <c r="R24" s="1">
        <f t="shared" si="2"/>
        <v>0</v>
      </c>
      <c r="S24" s="1"/>
      <c r="V24" s="19" t="s">
        <v>43</v>
      </c>
      <c r="Z24">
        <f t="shared" si="5"/>
        <v>5.155632160600223E-2</v>
      </c>
    </row>
    <row r="25" spans="1:26" x14ac:dyDescent="0.3">
      <c r="A25" s="14" t="s">
        <v>44</v>
      </c>
      <c r="B25" s="1">
        <f>14030+5550</f>
        <v>19580</v>
      </c>
      <c r="C25" s="1">
        <f>4690+990+950</f>
        <v>6630</v>
      </c>
      <c r="D25" s="1">
        <f>5550+500</f>
        <v>6050</v>
      </c>
      <c r="E25" s="1">
        <f>6900</f>
        <v>6900</v>
      </c>
      <c r="F25" s="1">
        <f t="shared" si="4"/>
        <v>0</v>
      </c>
      <c r="G25" s="6">
        <f t="shared" si="0"/>
        <v>12680</v>
      </c>
      <c r="H25" s="8">
        <f t="shared" si="6"/>
        <v>1960.6465782897556</v>
      </c>
      <c r="I25" s="10">
        <f t="shared" si="1"/>
        <v>1960.6465782897556</v>
      </c>
      <c r="J25" s="1">
        <v>460</v>
      </c>
      <c r="K25" s="4">
        <v>1150</v>
      </c>
      <c r="L25" s="1">
        <v>750</v>
      </c>
      <c r="M25" s="1">
        <v>630</v>
      </c>
      <c r="N25" s="1">
        <v>80</v>
      </c>
      <c r="O25" s="1">
        <f>740+60</f>
        <v>800</v>
      </c>
      <c r="P25" s="1">
        <f>440+990+950</f>
        <v>2380</v>
      </c>
      <c r="Q25" s="1">
        <f>840</f>
        <v>840</v>
      </c>
      <c r="R25" s="1">
        <f t="shared" si="2"/>
        <v>0</v>
      </c>
      <c r="S25" s="1"/>
      <c r="Z25">
        <f t="shared" si="5"/>
        <v>9.069400630914827E-2</v>
      </c>
    </row>
    <row r="26" spans="1:26" x14ac:dyDescent="0.3">
      <c r="A26" s="14" t="s">
        <v>45</v>
      </c>
      <c r="B26" s="1">
        <f>39807+5193</f>
        <v>45000</v>
      </c>
      <c r="C26" s="1">
        <f>8260+1701+486</f>
        <v>10447</v>
      </c>
      <c r="D26" s="1">
        <f>5193+4654</f>
        <v>9847</v>
      </c>
      <c r="E26" s="1">
        <f>24706</f>
        <v>24706</v>
      </c>
      <c r="F26" s="1">
        <f t="shared" si="4"/>
        <v>0</v>
      </c>
      <c r="G26" s="6">
        <f t="shared" si="0"/>
        <v>20294</v>
      </c>
      <c r="H26" s="8">
        <f t="shared" ref="H26:H33" si="7">J26*9.81*(LN(B26/(G26)))</f>
        <v>3023.2703425059144</v>
      </c>
      <c r="I26" s="10">
        <f t="shared" si="1"/>
        <v>3023.2703425059144</v>
      </c>
      <c r="J26" s="12">
        <v>387</v>
      </c>
      <c r="K26" s="4">
        <v>1932</v>
      </c>
      <c r="L26" s="1">
        <v>2239</v>
      </c>
      <c r="M26" s="1">
        <v>468</v>
      </c>
      <c r="N26" s="1">
        <v>306</v>
      </c>
      <c r="O26" s="1">
        <f>1119+88</f>
        <v>1207</v>
      </c>
      <c r="P26" s="1">
        <f>640+1701+486+91</f>
        <v>2918</v>
      </c>
      <c r="Q26" s="1">
        <v>1377</v>
      </c>
      <c r="R26" s="1">
        <f t="shared" si="2"/>
        <v>0</v>
      </c>
      <c r="S26" s="1"/>
      <c r="Z26">
        <f t="shared" si="5"/>
        <v>9.5200551887257318E-2</v>
      </c>
    </row>
    <row r="27" spans="1:26" x14ac:dyDescent="0.3">
      <c r="A27" s="14" t="s">
        <v>46</v>
      </c>
      <c r="B27" s="1">
        <f>40007+4994</f>
        <v>45001</v>
      </c>
      <c r="C27" s="1">
        <f>8627+1502+486</f>
        <v>10615</v>
      </c>
      <c r="D27" s="1">
        <f>4994+4686</f>
        <v>9680</v>
      </c>
      <c r="E27" s="1">
        <v>24706</v>
      </c>
      <c r="F27" s="1">
        <f t="shared" si="4"/>
        <v>0</v>
      </c>
      <c r="G27" s="6">
        <f t="shared" si="0"/>
        <v>20295</v>
      </c>
      <c r="H27" s="8">
        <f t="shared" si="7"/>
        <v>3023.1676386581948</v>
      </c>
      <c r="I27" s="10">
        <f t="shared" si="1"/>
        <v>3023.1676386581948</v>
      </c>
      <c r="J27" s="12">
        <v>387</v>
      </c>
      <c r="K27" s="4">
        <v>2203</v>
      </c>
      <c r="L27" s="1">
        <v>2239</v>
      </c>
      <c r="M27" s="1">
        <v>468</v>
      </c>
      <c r="N27" s="1">
        <v>306</v>
      </c>
      <c r="O27" s="1">
        <f>1104+88</f>
        <v>1192</v>
      </c>
      <c r="P27" s="1">
        <f>690+1502+486+91</f>
        <v>2769</v>
      </c>
      <c r="Q27" s="1">
        <v>1438</v>
      </c>
      <c r="R27" s="1">
        <f t="shared" si="2"/>
        <v>0</v>
      </c>
      <c r="S27" s="1"/>
      <c r="Z27">
        <f t="shared" si="5"/>
        <v>0.10854890367085489</v>
      </c>
    </row>
    <row r="28" spans="1:26" x14ac:dyDescent="0.3">
      <c r="A28" s="14" t="s">
        <v>47</v>
      </c>
      <c r="B28" s="1">
        <f>39779+5220</f>
        <v>44999</v>
      </c>
      <c r="C28" s="1">
        <f>8268+1583+486</f>
        <v>10337</v>
      </c>
      <c r="D28" s="1">
        <f>5220+4736</f>
        <v>9956</v>
      </c>
      <c r="E28" s="1">
        <v>24706</v>
      </c>
      <c r="F28" s="1">
        <f t="shared" si="4"/>
        <v>0</v>
      </c>
      <c r="G28" s="6">
        <f t="shared" si="0"/>
        <v>20293</v>
      </c>
      <c r="H28" s="8">
        <f t="shared" si="7"/>
        <v>3023.3730536970029</v>
      </c>
      <c r="I28" s="10">
        <f t="shared" si="1"/>
        <v>3023.3730536970029</v>
      </c>
      <c r="J28" s="13">
        <v>387</v>
      </c>
      <c r="K28" s="4">
        <v>2289</v>
      </c>
      <c r="L28" s="1">
        <v>2239</v>
      </c>
      <c r="M28" s="1">
        <v>468</v>
      </c>
      <c r="N28" s="1">
        <v>354</v>
      </c>
      <c r="O28" s="1">
        <f>1104+88</f>
        <v>1192</v>
      </c>
      <c r="P28" s="1">
        <f>257+1583+486+91</f>
        <v>2417</v>
      </c>
      <c r="Q28" s="1">
        <f>1378</f>
        <v>1378</v>
      </c>
      <c r="R28" s="1">
        <f t="shared" si="2"/>
        <v>0</v>
      </c>
      <c r="S28" s="1"/>
      <c r="V28" s="19" t="s">
        <v>48</v>
      </c>
      <c r="Z28">
        <f t="shared" si="5"/>
        <v>0.11279751638496033</v>
      </c>
    </row>
    <row r="29" spans="1:26" x14ac:dyDescent="0.3">
      <c r="A29" s="14" t="s">
        <v>49</v>
      </c>
      <c r="B29" s="1">
        <f>53643</f>
        <v>53643</v>
      </c>
      <c r="C29" s="1">
        <f>6753+1033+486</f>
        <v>8272</v>
      </c>
      <c r="D29" s="1">
        <v>19000</v>
      </c>
      <c r="E29" s="1">
        <v>26371</v>
      </c>
      <c r="F29" s="1">
        <f t="shared" si="4"/>
        <v>0</v>
      </c>
      <c r="G29" s="6">
        <f t="shared" si="0"/>
        <v>27272</v>
      </c>
      <c r="H29" s="8">
        <f t="shared" si="7"/>
        <v>2986.3670934036945</v>
      </c>
      <c r="I29" s="10">
        <f t="shared" si="1"/>
        <v>2986.3670934036945</v>
      </c>
      <c r="J29" s="1">
        <v>450</v>
      </c>
      <c r="K29" s="4">
        <v>1113</v>
      </c>
      <c r="L29" s="1">
        <v>2362</v>
      </c>
      <c r="M29" s="1">
        <v>468</v>
      </c>
      <c r="N29" s="1">
        <v>69</v>
      </c>
      <c r="O29" s="1">
        <f>281+88</f>
        <v>369</v>
      </c>
      <c r="P29" s="1">
        <f>640+1033+486+92</f>
        <v>2251</v>
      </c>
      <c r="Q29" s="1">
        <v>1640</v>
      </c>
      <c r="R29" s="1">
        <f t="shared" si="2"/>
        <v>0</v>
      </c>
      <c r="S29" s="1"/>
      <c r="Z29">
        <f t="shared" si="5"/>
        <v>4.0811088295687886E-2</v>
      </c>
    </row>
    <row r="30" spans="1:26" x14ac:dyDescent="0.3">
      <c r="A30" s="14" t="s">
        <v>50</v>
      </c>
      <c r="B30" s="1">
        <f>45001+4971</f>
        <v>49972</v>
      </c>
      <c r="C30" s="1">
        <f>11660+3671</f>
        <v>15331</v>
      </c>
      <c r="D30" s="1">
        <f>4971+1627</f>
        <v>6598</v>
      </c>
      <c r="E30" s="1">
        <f>28043</f>
        <v>28043</v>
      </c>
      <c r="F30" s="1">
        <f t="shared" si="4"/>
        <v>0</v>
      </c>
      <c r="G30" s="6">
        <f t="shared" si="0"/>
        <v>21929</v>
      </c>
      <c r="H30" s="8">
        <f t="shared" si="7"/>
        <v>3636.0156688434217</v>
      </c>
      <c r="I30" s="10">
        <f t="shared" si="1"/>
        <v>3636.0156688434217</v>
      </c>
      <c r="J30" s="1">
        <v>450</v>
      </c>
      <c r="K30" s="4">
        <v>4545</v>
      </c>
      <c r="L30" s="1">
        <v>3111</v>
      </c>
      <c r="M30" s="1">
        <v>934</v>
      </c>
      <c r="N30" s="1">
        <v>441</v>
      </c>
      <c r="O30" s="1">
        <f>156+180</f>
        <v>336</v>
      </c>
      <c r="P30" s="1">
        <f>429+3671</f>
        <v>4100</v>
      </c>
      <c r="Q30" s="1">
        <v>1864</v>
      </c>
      <c r="R30" s="1">
        <f t="shared" si="2"/>
        <v>0</v>
      </c>
      <c r="S30" s="1"/>
      <c r="Z30">
        <f t="shared" si="5"/>
        <v>0.20725979296821562</v>
      </c>
    </row>
    <row r="31" spans="1:26" x14ac:dyDescent="0.3">
      <c r="A31" s="14" t="s">
        <v>51</v>
      </c>
      <c r="B31" s="1">
        <f>45001+4971</f>
        <v>49972</v>
      </c>
      <c r="C31" s="1">
        <f>11448+3671</f>
        <v>15119</v>
      </c>
      <c r="D31" s="1">
        <f>4971+1839</f>
        <v>6810</v>
      </c>
      <c r="E31" s="1">
        <f>28043</f>
        <v>28043</v>
      </c>
      <c r="F31" s="1">
        <f t="shared" si="4"/>
        <v>0</v>
      </c>
      <c r="G31" s="6">
        <f t="shared" si="0"/>
        <v>21929</v>
      </c>
      <c r="H31" s="8">
        <f t="shared" si="7"/>
        <v>3636.0156688434217</v>
      </c>
      <c r="I31" s="10">
        <f t="shared" si="1"/>
        <v>3636.0156688434217</v>
      </c>
      <c r="J31" s="1">
        <v>450</v>
      </c>
      <c r="K31" s="4">
        <v>4430</v>
      </c>
      <c r="L31" s="1">
        <v>3182</v>
      </c>
      <c r="M31" s="1">
        <v>934</v>
      </c>
      <c r="N31" s="1">
        <v>441</v>
      </c>
      <c r="O31" s="1">
        <f>156+180</f>
        <v>336</v>
      </c>
      <c r="P31" s="1">
        <f>429+3671</f>
        <v>4100</v>
      </c>
      <c r="Q31" s="1">
        <v>1696</v>
      </c>
      <c r="R31" s="1">
        <f t="shared" si="2"/>
        <v>0</v>
      </c>
      <c r="S31" s="1"/>
      <c r="Z31">
        <f t="shared" si="5"/>
        <v>0.20201559578640157</v>
      </c>
    </row>
    <row r="32" spans="1:26" x14ac:dyDescent="0.3">
      <c r="A32" s="14" t="s">
        <v>52</v>
      </c>
      <c r="B32" s="1">
        <f>45000+5005</f>
        <v>50005</v>
      </c>
      <c r="C32" s="1">
        <f>13575+2445</f>
        <v>16020</v>
      </c>
      <c r="D32" s="1">
        <f>937+5005</f>
        <v>5942</v>
      </c>
      <c r="E32" s="1">
        <f>28043</f>
        <v>28043</v>
      </c>
      <c r="F32" s="1">
        <f t="shared" si="4"/>
        <v>0</v>
      </c>
      <c r="G32" s="6">
        <f t="shared" si="0"/>
        <v>21962</v>
      </c>
      <c r="H32" s="8">
        <f t="shared" si="7"/>
        <v>3632.2917133551828</v>
      </c>
      <c r="I32" s="10">
        <f t="shared" si="1"/>
        <v>3632.2917133551828</v>
      </c>
      <c r="J32" s="1">
        <v>450</v>
      </c>
      <c r="K32" s="4">
        <f>6565</f>
        <v>6565</v>
      </c>
      <c r="L32" s="1">
        <v>2889</v>
      </c>
      <c r="M32" s="1">
        <v>934</v>
      </c>
      <c r="N32" s="1">
        <v>441</v>
      </c>
      <c r="O32" s="1">
        <f>156+180</f>
        <v>336</v>
      </c>
      <c r="P32" s="1">
        <f>446+2445</f>
        <v>2891</v>
      </c>
      <c r="Q32" s="1">
        <v>1964</v>
      </c>
      <c r="R32" s="1">
        <f t="shared" si="2"/>
        <v>0</v>
      </c>
      <c r="S32" s="1"/>
      <c r="Z32">
        <f t="shared" si="5"/>
        <v>0.29892541662872235</v>
      </c>
    </row>
    <row r="33" spans="1:26" x14ac:dyDescent="0.3">
      <c r="A33" s="14" t="s">
        <v>53</v>
      </c>
      <c r="B33" s="1">
        <f>45000+4971</f>
        <v>49971</v>
      </c>
      <c r="C33" s="1">
        <f>8131+2889</f>
        <v>11020</v>
      </c>
      <c r="D33" s="1">
        <f>4971+5937</f>
        <v>10908</v>
      </c>
      <c r="E33" s="1">
        <f>28043</f>
        <v>28043</v>
      </c>
      <c r="F33" s="1">
        <f t="shared" si="4"/>
        <v>0</v>
      </c>
      <c r="G33" s="6">
        <f t="shared" si="0"/>
        <v>21928</v>
      </c>
      <c r="H33" s="8">
        <f t="shared" si="7"/>
        <v>3636.1286418487784</v>
      </c>
      <c r="I33" s="10">
        <f t="shared" si="1"/>
        <v>3636.1286418487784</v>
      </c>
      <c r="J33" s="1">
        <v>450</v>
      </c>
      <c r="K33" s="4">
        <v>1856</v>
      </c>
      <c r="L33" s="1">
        <v>2578</v>
      </c>
      <c r="M33" s="1">
        <v>934</v>
      </c>
      <c r="N33" s="1">
        <v>441</v>
      </c>
      <c r="O33" s="1">
        <f>156+180</f>
        <v>336</v>
      </c>
      <c r="P33" s="1">
        <f>706+2889</f>
        <v>3595</v>
      </c>
      <c r="Q33" s="1">
        <v>1280</v>
      </c>
      <c r="R33" s="1">
        <f t="shared" si="2"/>
        <v>0</v>
      </c>
      <c r="S33" s="1"/>
      <c r="Z33">
        <f t="shared" si="5"/>
        <v>8.4640642101422844E-2</v>
      </c>
    </row>
    <row r="34" spans="1:26" x14ac:dyDescent="0.3">
      <c r="A34" s="14" t="s">
        <v>54</v>
      </c>
      <c r="B34" s="1">
        <f>45001+4971</f>
        <v>49972</v>
      </c>
      <c r="C34" s="1">
        <f>7695+2731</f>
        <v>10426</v>
      </c>
      <c r="D34" s="1">
        <f>4971+6532</f>
        <v>11503</v>
      </c>
      <c r="E34" s="1">
        <v>28043</v>
      </c>
      <c r="F34" s="1">
        <f t="shared" si="4"/>
        <v>0</v>
      </c>
      <c r="G34" s="6">
        <f t="shared" ref="G34:G35" si="8">B34-E34</f>
        <v>21929</v>
      </c>
      <c r="H34" s="8">
        <f>J34*9.81*(LN(B34/(G34)))</f>
        <v>3636.0156688434217</v>
      </c>
      <c r="I34" s="10">
        <f t="shared" si="1"/>
        <v>3636.0156688434217</v>
      </c>
      <c r="J34" s="1">
        <v>450</v>
      </c>
      <c r="K34" s="4">
        <v>1638</v>
      </c>
      <c r="L34" s="1">
        <v>2601</v>
      </c>
      <c r="M34" s="1">
        <v>934</v>
      </c>
      <c r="N34" s="1">
        <v>441</v>
      </c>
      <c r="O34" s="1">
        <f>156+180</f>
        <v>336</v>
      </c>
      <c r="P34" s="1">
        <f>548+2731</f>
        <v>3279</v>
      </c>
      <c r="Q34" s="1">
        <v>1197</v>
      </c>
      <c r="R34" s="1">
        <f t="shared" si="2"/>
        <v>0</v>
      </c>
      <c r="S34" s="1"/>
      <c r="Z34">
        <f t="shared" si="5"/>
        <v>7.4695608554881665E-2</v>
      </c>
    </row>
    <row r="35" spans="1:26" x14ac:dyDescent="0.3">
      <c r="A35" s="14" t="s">
        <v>55</v>
      </c>
      <c r="B35" s="1">
        <f>37668+6685</f>
        <v>44353</v>
      </c>
      <c r="C35" s="1">
        <f>11486</f>
        <v>11486</v>
      </c>
      <c r="D35" s="1">
        <v>6685</v>
      </c>
      <c r="E35" s="1">
        <v>26182</v>
      </c>
      <c r="F35" s="1">
        <f t="shared" si="4"/>
        <v>0</v>
      </c>
      <c r="G35" s="1">
        <f t="shared" si="8"/>
        <v>18171</v>
      </c>
      <c r="H35" s="10">
        <f>J35*9.81*(LN(B35/(G35)))</f>
        <v>3939.2942323794919</v>
      </c>
      <c r="I35" s="10">
        <f t="shared" si="1"/>
        <v>3939.2942323794919</v>
      </c>
      <c r="J35" s="1">
        <v>450</v>
      </c>
      <c r="K35" s="4">
        <v>4939</v>
      </c>
      <c r="L35" s="1">
        <v>2352</v>
      </c>
      <c r="M35" s="1">
        <v>1563</v>
      </c>
      <c r="N35" s="1">
        <v>263</v>
      </c>
      <c r="O35" s="1">
        <f>700+340</f>
        <v>1040</v>
      </c>
      <c r="P35" s="1">
        <v>1329</v>
      </c>
      <c r="Q35" s="1">
        <v>0</v>
      </c>
      <c r="R35" s="1">
        <f t="shared" si="2"/>
        <v>0</v>
      </c>
      <c r="S35" s="1"/>
      <c r="V35" s="19" t="s">
        <v>43</v>
      </c>
      <c r="Z35">
        <f t="shared" si="5"/>
        <v>0.27180672500137582</v>
      </c>
    </row>
    <row r="36" spans="1:26" x14ac:dyDescent="0.3">
      <c r="A36" s="1"/>
      <c r="B36" s="1"/>
      <c r="C36" s="1"/>
      <c r="D36" s="1"/>
      <c r="E36" s="1"/>
      <c r="F36" s="1"/>
      <c r="G36" s="1"/>
      <c r="H36" s="10"/>
      <c r="I36" s="10"/>
      <c r="J36" s="1"/>
      <c r="K36" s="4"/>
      <c r="L36" s="1"/>
      <c r="M36" s="1"/>
      <c r="N36" s="1"/>
      <c r="O36" s="1"/>
      <c r="P36" s="1"/>
      <c r="Q36" s="1"/>
      <c r="R36" s="1"/>
      <c r="S36" s="1"/>
    </row>
    <row r="37" spans="1:26" x14ac:dyDescent="0.3">
      <c r="A37" s="1"/>
      <c r="B37" s="1"/>
      <c r="C37" s="1"/>
      <c r="D37" s="1"/>
      <c r="E37" s="1"/>
      <c r="F37" s="1"/>
      <c r="G37" s="1"/>
      <c r="H37" s="10"/>
      <c r="I37" s="10"/>
      <c r="J37" s="1"/>
      <c r="K37" s="4"/>
      <c r="L37" s="1"/>
      <c r="M37" s="1"/>
      <c r="N37" s="1"/>
      <c r="O37" s="1"/>
      <c r="P37" s="1"/>
      <c r="Q37" s="1"/>
      <c r="R37" s="1"/>
      <c r="S37" s="1"/>
    </row>
    <row r="38" spans="1:26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4"/>
      <c r="L38" s="1"/>
      <c r="M38" s="1"/>
      <c r="N38" s="1"/>
      <c r="O38" s="1"/>
      <c r="P38" s="1"/>
      <c r="Q38" s="1"/>
      <c r="R38" s="1"/>
      <c r="S38" s="1"/>
    </row>
    <row r="39" spans="1:26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4"/>
      <c r="L39" s="1"/>
      <c r="M39" s="1"/>
      <c r="N39" s="1"/>
      <c r="O39" s="1"/>
      <c r="P39" s="1"/>
      <c r="Q39" s="1"/>
      <c r="R39" s="1"/>
      <c r="S39" s="1"/>
    </row>
    <row r="57" spans="15:15" x14ac:dyDescent="0.3">
      <c r="O57" s="19"/>
    </row>
  </sheetData>
  <conditionalFormatting sqref="R2:R35">
    <cfRule type="colorScale" priority="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Feuil1archive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Conall DE PAOR</dc:creator>
  <cp:lastModifiedBy>Conall DE PAOR</cp:lastModifiedBy>
  <dcterms:created xsi:type="dcterms:W3CDTF">2025-05-29T22:23:43Z</dcterms:created>
  <dcterms:modified xsi:type="dcterms:W3CDTF">2025-08-14T09:07:02Z</dcterms:modified>
</cp:coreProperties>
</file>