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13_ncr:1_{31D6E5EC-A521-416E-B5B6-DC10EB59D8B8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All Real Landers" sheetId="1" r:id="rId1"/>
    <sheet name="Feuil1" sheetId="4" r:id="rId2"/>
    <sheet name="All Real Unmanned Landers" sheetId="2" r:id="rId3"/>
    <sheet name="Feuil2" sheetId="5" r:id="rId4"/>
    <sheet name="Just model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L31" i="1"/>
  <c r="L34" i="1"/>
  <c r="K31" i="1"/>
  <c r="K34" i="1"/>
  <c r="F34" i="1"/>
  <c r="G34" i="1" s="1"/>
  <c r="D33" i="1"/>
  <c r="L33" i="1" s="1"/>
  <c r="G32" i="1"/>
  <c r="D32" i="1"/>
  <c r="L32" i="1" s="1"/>
  <c r="F33" i="1" l="1"/>
  <c r="G33" i="1" s="1"/>
  <c r="K33" i="1"/>
  <c r="K32" i="1"/>
  <c r="L32" i="4"/>
  <c r="K32" i="4"/>
  <c r="G30" i="4"/>
  <c r="D30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F20" i="4"/>
  <c r="D20" i="4"/>
  <c r="L20" i="4" s="1"/>
  <c r="L19" i="4"/>
  <c r="K19" i="4"/>
  <c r="F19" i="4"/>
  <c r="D19" i="4"/>
  <c r="F18" i="4"/>
  <c r="D18" i="4"/>
  <c r="L18" i="4" s="1"/>
  <c r="L17" i="4"/>
  <c r="K17" i="4"/>
  <c r="F17" i="4"/>
  <c r="G17" i="4" s="1"/>
  <c r="L16" i="4"/>
  <c r="K16" i="4"/>
  <c r="G16" i="4"/>
  <c r="F16" i="4"/>
  <c r="L15" i="4"/>
  <c r="K15" i="4"/>
  <c r="F15" i="4"/>
  <c r="G15" i="4" s="1"/>
  <c r="L14" i="4"/>
  <c r="K14" i="4"/>
  <c r="G14" i="4"/>
  <c r="F14" i="4"/>
  <c r="L13" i="4"/>
  <c r="K13" i="4"/>
  <c r="F13" i="4"/>
  <c r="D13" i="4"/>
  <c r="D12" i="4"/>
  <c r="F12" i="4" s="1"/>
  <c r="L11" i="4"/>
  <c r="K11" i="4"/>
  <c r="G11" i="4"/>
  <c r="F11" i="4"/>
  <c r="L10" i="4"/>
  <c r="K10" i="4"/>
  <c r="G10" i="4"/>
  <c r="F10" i="4"/>
  <c r="L9" i="4"/>
  <c r="K9" i="4"/>
  <c r="F9" i="4"/>
  <c r="G9" i="4" s="1"/>
  <c r="L8" i="4"/>
  <c r="K8" i="4"/>
  <c r="F8" i="4"/>
  <c r="L7" i="4"/>
  <c r="K7" i="4"/>
  <c r="F7" i="4"/>
  <c r="L6" i="4"/>
  <c r="K6" i="4"/>
  <c r="F6" i="4"/>
  <c r="L5" i="4"/>
  <c r="K5" i="4"/>
  <c r="F5" i="4"/>
  <c r="L4" i="4"/>
  <c r="K4" i="4"/>
  <c r="F4" i="4"/>
  <c r="L3" i="4"/>
  <c r="K3" i="4"/>
  <c r="G3" i="4"/>
  <c r="F3" i="4"/>
  <c r="L2" i="4"/>
  <c r="K2" i="4"/>
  <c r="F2" i="4"/>
  <c r="G2" i="4" s="1"/>
  <c r="G16" i="3"/>
  <c r="D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F8" i="3"/>
  <c r="D8" i="3"/>
  <c r="L8" i="3" s="1"/>
  <c r="D7" i="3"/>
  <c r="L7" i="3" s="1"/>
  <c r="F6" i="3"/>
  <c r="D6" i="3"/>
  <c r="L6" i="3" s="1"/>
  <c r="D5" i="3"/>
  <c r="K5" i="3" s="1"/>
  <c r="L4" i="3"/>
  <c r="K4" i="3"/>
  <c r="F4" i="3"/>
  <c r="L3" i="3"/>
  <c r="K3" i="3"/>
  <c r="F3" i="3"/>
  <c r="G3" i="3" s="1"/>
  <c r="L2" i="3"/>
  <c r="K2" i="3"/>
  <c r="F2" i="3"/>
  <c r="G2" i="3" s="1"/>
  <c r="G23" i="2"/>
  <c r="D23" i="2"/>
  <c r="G30" i="1"/>
  <c r="D30" i="1"/>
  <c r="L30" i="1" l="1"/>
  <c r="K30" i="1"/>
  <c r="K20" i="4"/>
  <c r="K18" i="4"/>
  <c r="L12" i="4"/>
  <c r="K12" i="4"/>
  <c r="K8" i="3"/>
  <c r="L5" i="3"/>
  <c r="F5" i="3"/>
  <c r="K6" i="3"/>
  <c r="F7" i="3"/>
  <c r="K7" i="3"/>
  <c r="L17" i="2" l="1"/>
  <c r="K17" i="2"/>
  <c r="L19" i="2"/>
  <c r="K19" i="2"/>
  <c r="L22" i="2"/>
  <c r="K22" i="2"/>
  <c r="L16" i="2"/>
  <c r="K16" i="2"/>
  <c r="L21" i="2"/>
  <c r="K21" i="2"/>
  <c r="L20" i="2"/>
  <c r="K20" i="2"/>
  <c r="L4" i="2"/>
  <c r="K4" i="2"/>
  <c r="F4" i="2"/>
  <c r="L7" i="2"/>
  <c r="K7" i="2"/>
  <c r="F7" i="2"/>
  <c r="L6" i="2"/>
  <c r="K6" i="2"/>
  <c r="F6" i="2"/>
  <c r="L5" i="2"/>
  <c r="K5" i="2"/>
  <c r="F5" i="2"/>
  <c r="L8" i="2"/>
  <c r="K8" i="2"/>
  <c r="F8" i="2"/>
  <c r="L3" i="2"/>
  <c r="K3" i="2"/>
  <c r="F3" i="2"/>
  <c r="G3" i="2" s="1"/>
  <c r="L2" i="2"/>
  <c r="K2" i="2"/>
  <c r="F2" i="2"/>
  <c r="G2" i="2" s="1"/>
  <c r="L14" i="2"/>
  <c r="K14" i="2"/>
  <c r="L15" i="2"/>
  <c r="K15" i="2"/>
  <c r="F13" i="2"/>
  <c r="D13" i="2"/>
  <c r="L13" i="2" s="1"/>
  <c r="F10" i="2"/>
  <c r="D10" i="2"/>
  <c r="L10" i="2" s="1"/>
  <c r="F11" i="2"/>
  <c r="D11" i="2"/>
  <c r="L11" i="2" s="1"/>
  <c r="D9" i="2"/>
  <c r="K9" i="2" s="1"/>
  <c r="L18" i="2"/>
  <c r="K18" i="2"/>
  <c r="D12" i="2"/>
  <c r="L12" i="2" s="1"/>
  <c r="L22" i="1"/>
  <c r="L26" i="1"/>
  <c r="K22" i="1"/>
  <c r="K26" i="1"/>
  <c r="L10" i="1"/>
  <c r="K10" i="1"/>
  <c r="F10" i="1"/>
  <c r="G10" i="1" s="1"/>
  <c r="L9" i="1"/>
  <c r="K9" i="1"/>
  <c r="F9" i="1"/>
  <c r="G9" i="1" s="1"/>
  <c r="L14" i="1"/>
  <c r="K14" i="1"/>
  <c r="F14" i="1"/>
  <c r="G14" i="1" s="1"/>
  <c r="L13" i="1"/>
  <c r="K13" i="1"/>
  <c r="F13" i="1"/>
  <c r="G13" i="1" s="1"/>
  <c r="L18" i="1"/>
  <c r="K18" i="1"/>
  <c r="F18" i="1"/>
  <c r="G18" i="1" s="1"/>
  <c r="L17" i="1"/>
  <c r="K17" i="1"/>
  <c r="F17" i="1"/>
  <c r="G17" i="1" s="1"/>
  <c r="L15" i="1"/>
  <c r="K15" i="1"/>
  <c r="F15" i="1"/>
  <c r="G15" i="1" s="1"/>
  <c r="D19" i="1"/>
  <c r="L19" i="1" s="1"/>
  <c r="L25" i="1"/>
  <c r="K25" i="1"/>
  <c r="D12" i="1"/>
  <c r="K12" i="1" s="1"/>
  <c r="F16" i="1"/>
  <c r="D16" i="1"/>
  <c r="F11" i="1"/>
  <c r="D11" i="1"/>
  <c r="F20" i="1"/>
  <c r="D20" i="1"/>
  <c r="K20" i="1" s="1"/>
  <c r="L24" i="1"/>
  <c r="K24" i="1"/>
  <c r="L21" i="1"/>
  <c r="K21" i="1"/>
  <c r="L4" i="1"/>
  <c r="K4" i="1"/>
  <c r="F4" i="1"/>
  <c r="G4" i="1" s="1"/>
  <c r="L2" i="1"/>
  <c r="K2" i="1"/>
  <c r="F2" i="1"/>
  <c r="L7" i="1"/>
  <c r="K7" i="1"/>
  <c r="L6" i="1"/>
  <c r="K6" i="1"/>
  <c r="L5" i="1"/>
  <c r="K5" i="1"/>
  <c r="F5" i="1"/>
  <c r="L8" i="1"/>
  <c r="K8" i="1"/>
  <c r="F8" i="1"/>
  <c r="L3" i="1"/>
  <c r="K3" i="1"/>
  <c r="F3" i="1"/>
  <c r="G3" i="1" s="1"/>
  <c r="L29" i="1"/>
  <c r="K29" i="1"/>
  <c r="L28" i="1"/>
  <c r="K28" i="1"/>
  <c r="L23" i="1"/>
  <c r="K23" i="1"/>
  <c r="L27" i="1"/>
  <c r="K27" i="1"/>
  <c r="L9" i="2" l="1"/>
  <c r="K11" i="2"/>
  <c r="K10" i="2"/>
  <c r="F12" i="2"/>
  <c r="K12" i="2"/>
  <c r="F9" i="2"/>
  <c r="K13" i="2"/>
  <c r="L12" i="1"/>
  <c r="L20" i="1"/>
  <c r="F12" i="1"/>
  <c r="L11" i="1"/>
  <c r="K11" i="1"/>
  <c r="K16" i="1"/>
  <c r="F19" i="1"/>
  <c r="L16" i="1"/>
  <c r="K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tc={14C96871-7C53-4D4A-88BE-E5819679F98D}</author>
    <author>Conall De Paor</author>
  </authors>
  <commentList>
    <comment ref="D1" authorId="0" shapeId="0" xr:uid="{5D359ECF-DCA0-4361-B26A-08B693D5FDC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14C96871-7C53-4D4A-88BE-E5819679F9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0124004C-EC0F-48D5-8042-1D8A328AEDD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3" authorId="2" shapeId="0" xr:uid="{22C4C130-3DAA-4593-B76E-2277D03E543D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E4" authorId="2" shapeId="0" xr:uid="{42BD1E07-C0A6-4106-8AB6-E5F9CA01BC0A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C11" authorId="0" shapeId="0" xr:uid="{4D8B8B22-7078-4D5F-B12D-A9B6082EA3B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12" authorId="0" shapeId="0" xr:uid="{4648BF16-73D6-496B-A6F3-0A5DB7C56BBB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G16" authorId="0" shapeId="0" xr:uid="{E26588A8-7639-4AFF-A00D-7E579FFC7A9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NSSDC
</t>
        </r>
      </text>
    </comment>
    <comment ref="G19" authorId="0" shapeId="0" xr:uid="{FD9CD96B-0C52-4FED-868E-64FD5ACA07B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I21" authorId="2" shapeId="0" xr:uid="{6CB821B3-8DDE-4509-B739-008F2BD96B0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for that fuel</t>
        </r>
      </text>
    </comment>
    <comment ref="J23" authorId="0" shapeId="0" xr:uid="{3EA01685-C878-46DB-8E69-C7C06C1ADDC5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C24" authorId="2" shapeId="0" xr:uid="{9A27DB25-CB47-4E7D-8551-DB3640611A0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Krebs, Gunter D. “Chang'e 3, 4 (CE 3, 4) / Yutu 1, 2”. Gunter's Space Page. Retrieved December 06, 2022, from https://space.skyrocket.de/doc_sdat/change-3.htm</t>
        </r>
      </text>
    </comment>
    <comment ref="D24" authorId="2" shapeId="0" xr:uid="{AEEC9F6F-291A-405C-9E99-971E305BB3D3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https://nssdc.gsfc.nasa.gov/nmc/spacecraft/display.action?id=2018-103A</t>
        </r>
      </text>
    </comment>
    <comment ref="J27" authorId="0" shapeId="0" xr:uid="{956B297E-F8D0-40A8-8BDE-E9F62A08669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28" authorId="2" shapeId="0" xr:uid="{CDE977AB-C2FD-46FE-9E6C-4CDCD3DCB68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J29" authorId="0" shapeId="0" xr:uid="{BBB5C1D0-7DD5-4E44-A4BA-232EF8D10EE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tc={F43BA908-11C1-4486-9AC9-41BED78EF776}</author>
    <author>Conall De Paor</author>
  </authors>
  <commentList>
    <comment ref="D1" authorId="0" shapeId="0" xr:uid="{118F50EB-C5EC-4A63-8FD7-077B5C379774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F43BA908-11C1-4486-9AC9-41BED78EF77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4B34D8DF-0F6D-4AD3-8B2B-545F2BAFB19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2" authorId="2" shapeId="0" xr:uid="{E7E3A4DB-37AA-47A2-A251-864FF83CF6B0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E3" authorId="2" shapeId="0" xr:uid="{34FFCA51-DBC1-4417-9C71-EC3534F86C60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G12" authorId="0" shapeId="0" xr:uid="{2638958B-4796-46A4-BE38-4BA0C87342C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C13" authorId="0" shapeId="0" xr:uid="{17FE65AD-0888-400B-8275-2CCA7D2C9A8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18" authorId="0" shapeId="0" xr:uid="{226BDF04-68AF-439D-866C-946723FBEF4B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NSSDC
</t>
        </r>
      </text>
    </comment>
    <comment ref="G19" authorId="0" shapeId="0" xr:uid="{0B5C07EA-0631-4FFB-ADE8-1E9D60199020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I21" authorId="2" shapeId="0" xr:uid="{5055D07E-FB7E-4E54-A9DE-5D5BC7499593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for that fuel</t>
        </r>
      </text>
    </comment>
    <comment ref="C22" authorId="2" shapeId="0" xr:uid="{1AD89E3F-B071-4890-A093-CFF9CDAA0B37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Krebs, Gunter D. “Chang'e 3, 4 (CE 3, 4) / Yutu 1, 2”. Gunter's Space Page. Retrieved December 06, 2022, from https://space.skyrocket.de/doc_sdat/change-3.htm</t>
        </r>
      </text>
    </comment>
    <comment ref="D22" authorId="2" shapeId="0" xr:uid="{3063B9F3-68A4-4A2F-8EB5-A76C58B0097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https://nssdc.gsfc.nasa.gov/nmc/spacecraft/display.action?id=2018-103A</t>
        </r>
      </text>
    </comment>
    <comment ref="J23" authorId="0" shapeId="0" xr:uid="{222C2F4F-0FE2-4D95-886C-21D8078F02CC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J27" authorId="0" shapeId="0" xr:uid="{BE344809-DB50-4BB5-9100-AEB307E3438B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28" authorId="2" shapeId="0" xr:uid="{61C289E1-1904-4737-8599-4B8B604F79A5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D29" authorId="0" shapeId="0" xr:uid="{A1A94A72-09D4-4449-BF0C-66C51BB0C21C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resultant dV of chandrayaan 2. assuming same Isp
</t>
        </r>
      </text>
    </comment>
    <comment ref="J29" authorId="0" shapeId="0" xr:uid="{921E7DF2-5DFC-4CF2-A1A9-385E2A647BBA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assumed the same as chandrayaan 2. same mission profile</t>
        </r>
      </text>
    </comment>
    <comment ref="J32" authorId="0" shapeId="0" xr:uid="{8BC0D484-7C82-4BA6-9C9B-007B98BA7F8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tc={B3F7CD30-2CE1-4425-828F-964D49209C6F}</author>
    <author>Conall De Paor</author>
  </authors>
  <commentList>
    <comment ref="D1" authorId="0" shapeId="0" xr:uid="{5655BD71-991C-43DB-8598-ABA6C2ADAA1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B3F7CD30-2CE1-4425-828F-964D49209C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61C7CF50-84B9-46FC-9A44-EC87560AF86E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2" authorId="2" shapeId="0" xr:uid="{7F2FEDCD-9874-4E16-9D8B-F5DC65E8A89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E3" authorId="2" shapeId="0" xr:uid="{6881D914-FB66-467D-B782-22803C8750B7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G9" authorId="0" shapeId="0" xr:uid="{09E88D0E-BAC8-4A8C-A231-15B15ED629ED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C10" authorId="0" shapeId="0" xr:uid="{4EC34AD7-7C62-49B5-BF73-C67CA663F6D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11" authorId="0" shapeId="0" xr:uid="{EF1D07D7-4C54-4D81-87D4-3662E8BE7A6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NSSDC
</t>
        </r>
      </text>
    </comment>
    <comment ref="G12" authorId="0" shapeId="0" xr:uid="{AE57287B-EA0D-4A1A-928C-5C18C4F0C2CA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I14" authorId="2" shapeId="0" xr:uid="{716ECF2C-AF45-4109-841C-CC7FE8FB5770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for that fuel</t>
        </r>
      </text>
    </comment>
    <comment ref="C15" authorId="2" shapeId="0" xr:uid="{A4C6AEBB-5EBC-45F2-B6D7-6316F719216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Krebs, Gunter D. “Chang'e 3, 4 (CE 3, 4) / Yutu 1, 2”. Gunter's Space Page. Retrieved December 06, 2022, from https://space.skyrocket.de/doc_sdat/change-3.htm</t>
        </r>
      </text>
    </comment>
    <comment ref="D15" authorId="2" shapeId="0" xr:uid="{12E17F5E-ACA7-44C9-A8BF-6D9E9DDF400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https://nssdc.gsfc.nasa.gov/nmc/spacecraft/display.action?id=2018-103A</t>
        </r>
      </text>
    </comment>
    <comment ref="J16" authorId="0" shapeId="0" xr:uid="{A1FA0E70-3BF3-46BB-9040-3DE1CD7ECFF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J20" authorId="0" shapeId="0" xr:uid="{4EAB221C-AC42-4CC1-B1F6-9F53C810C85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21" authorId="2" shapeId="0" xr:uid="{D6B61B8A-12DE-4187-87B1-EC0F5D7B536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J22" authorId="0" shapeId="0" xr:uid="{B55791EC-9524-41B4-9C98-204B8E164BDC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tc={1825771D-96A2-4E7C-B107-0F2AD72E57AE}</author>
    <author>Conall De Paor</author>
  </authors>
  <commentList>
    <comment ref="D1" authorId="0" shapeId="0" xr:uid="{D2FC7725-22E8-48A5-BF8B-1F4343460D2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1825771D-96A2-4E7C-B107-0F2AD72E57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7C58828D-35BD-482D-AB65-1A20DBC547D4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2" authorId="2" shapeId="0" xr:uid="{7926DA75-F8BA-4031-88D3-45531DB2AF33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E3" authorId="2" shapeId="0" xr:uid="{6C0D0794-F002-4E93-A82D-B1CFD0EE1135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G5" authorId="0" shapeId="0" xr:uid="{D1802B56-9B83-481C-A44F-4E26EC533C2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C6" authorId="0" shapeId="0" xr:uid="{40C4D068-889C-4328-892B-DB57C070CBB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7" authorId="0" shapeId="0" xr:uid="{5859917F-4F9D-4701-9BB3-DCCAF28D2F3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J9" authorId="0" shapeId="0" xr:uid="{0494621F-979F-4381-A0D6-53114D9CC48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J13" authorId="0" shapeId="0" xr:uid="{F500796F-EC0A-4504-980F-4A037977F82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14" authorId="2" shapeId="0" xr:uid="{F5A14773-160F-4CAB-B435-276D3D806AE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J15" authorId="0" shapeId="0" xr:uid="{A79FF7D0-CB8D-40EB-9A05-829BE23D18A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sharedStrings.xml><?xml version="1.0" encoding="utf-8"?>
<sst xmlns="http://schemas.openxmlformats.org/spreadsheetml/2006/main" count="249" uniqueCount="63">
  <si>
    <t>year</t>
  </si>
  <si>
    <t>propellant</t>
  </si>
  <si>
    <t>1 stage Isp</t>
  </si>
  <si>
    <t>dV</t>
  </si>
  <si>
    <t>mp/md</t>
  </si>
  <si>
    <t>mp/minert</t>
  </si>
  <si>
    <t>Luna 25</t>
  </si>
  <si>
    <t>N2O4/UDMH</t>
  </si>
  <si>
    <t>Vikram 1</t>
  </si>
  <si>
    <t>MON/MMH</t>
  </si>
  <si>
    <t>Hakuto-R M1</t>
  </si>
  <si>
    <t>N2O4/MMH</t>
  </si>
  <si>
    <t>SLIM</t>
  </si>
  <si>
    <t>N2H4/N2O4</t>
  </si>
  <si>
    <t xml:space="preserve"> Luna 9</t>
  </si>
  <si>
    <t>HNO3/Amine</t>
  </si>
  <si>
    <t>Surveyor 7</t>
  </si>
  <si>
    <t>Solid</t>
  </si>
  <si>
    <t>Surveyor 5</t>
  </si>
  <si>
    <t>Surveyor 6</t>
  </si>
  <si>
    <t>Surveyor 3</t>
  </si>
  <si>
    <t>Surveyor 1</t>
  </si>
  <si>
    <t>Luna 13</t>
  </si>
  <si>
    <t>Chang'e 3</t>
  </si>
  <si>
    <t>Chang'e 4</t>
  </si>
  <si>
    <t>Ye-8-5 (413)</t>
  </si>
  <si>
    <t>HNO3/UDMH</t>
  </si>
  <si>
    <t>Ye-8-5 (405)</t>
  </si>
  <si>
    <t>Ye-8-5 (408)</t>
  </si>
  <si>
    <t>Ye-8 (203)</t>
  </si>
  <si>
    <t>Chang' 5</t>
  </si>
  <si>
    <t>Ye-8 (204)</t>
  </si>
  <si>
    <t>LM-10 Falcon</t>
  </si>
  <si>
    <t>N2O4/AZ46</t>
  </si>
  <si>
    <t>LM-11 Orion</t>
  </si>
  <si>
    <t>N2O4/AZ47</t>
  </si>
  <si>
    <t>LM-12 Challenger</t>
  </si>
  <si>
    <t>N2O4/AZ48</t>
  </si>
  <si>
    <t>LM-7 Aquarius</t>
  </si>
  <si>
    <t>N2O4/AZ44</t>
  </si>
  <si>
    <t>LM-8 Antares</t>
  </si>
  <si>
    <t>N2O4/AZ45</t>
  </si>
  <si>
    <t>LM-6 Intrepid</t>
  </si>
  <si>
    <t>N2O4/AZ49</t>
  </si>
  <si>
    <t>LM-5 Eagle</t>
  </si>
  <si>
    <t>N2O4/AZ50</t>
  </si>
  <si>
    <t>Beresheet</t>
  </si>
  <si>
    <t>OMOTENASHI</t>
  </si>
  <si>
    <t>solid motor</t>
  </si>
  <si>
    <t>Vikram 2</t>
  </si>
  <si>
    <t>Peregrine</t>
  </si>
  <si>
    <t>Odysseus</t>
  </si>
  <si>
    <t>LCH4/LOX</t>
  </si>
  <si>
    <t>model</t>
  </si>
  <si>
    <t>mt</t>
  </si>
  <si>
    <t>md</t>
  </si>
  <si>
    <t>mp</t>
  </si>
  <si>
    <t>mprop</t>
  </si>
  <si>
    <t>minert</t>
  </si>
  <si>
    <t>Chang'e 6</t>
  </si>
  <si>
    <t>Blueghost</t>
  </si>
  <si>
    <t>Athena</t>
  </si>
  <si>
    <t>Hakuto-R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</si>
</sst>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PIRYSET-ULStudent:CONALL.DE PAOR" id="{27A20534-E0E1-43F4-B688-BEFF110E20FD}" userId="S::17219752@oldstudentmail.ul.ie::d21f4c12-0dc9-4f62-9883-a14dc92bbe7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14C96871-7C53-4D4A-88BE-E5819679F98D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F43BA908-11C1-4486-9AC9-41BED78EF776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B3F7CD30-2CE1-4425-828F-964D49209C6F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1825771D-96A2-4E7C-B107-0F2AD72E57AE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="69" zoomScaleNormal="160" workbookViewId="0">
      <selection activeCell="J32" sqref="J32"/>
    </sheetView>
  </sheetViews>
  <sheetFormatPr baseColWidth="10" defaultColWidth="8.85546875" defaultRowHeight="15" x14ac:dyDescent="0.25"/>
  <cols>
    <col min="2" max="2" width="16" bestFit="1" customWidth="1"/>
    <col min="3" max="3" width="13.42578125" bestFit="1" customWidth="1"/>
    <col min="4" max="4" width="14" bestFit="1" customWidth="1"/>
    <col min="5" max="5" width="18.5703125" bestFit="1" customWidth="1"/>
    <col min="6" max="6" width="18" bestFit="1" customWidth="1"/>
    <col min="7" max="7" width="9.85546875" bestFit="1" customWidth="1"/>
    <col min="8" max="8" width="15.85546875" customWidth="1"/>
    <col min="9" max="9" width="11.42578125" customWidth="1"/>
    <col min="12" max="12" width="10.42578125" bestFit="1" customWidth="1"/>
  </cols>
  <sheetData>
    <row r="1" spans="1:12" x14ac:dyDescent="0.2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2" x14ac:dyDescent="0.25">
      <c r="A2" s="14">
        <v>1966</v>
      </c>
      <c r="B2" s="15" t="s">
        <v>21</v>
      </c>
      <c r="C2" s="14">
        <v>995.2</v>
      </c>
      <c r="D2" s="14">
        <v>262</v>
      </c>
      <c r="E2" s="14">
        <v>33</v>
      </c>
      <c r="F2" s="14">
        <f t="shared" ref="F2:F10" si="0">C2-D2-E2</f>
        <v>700.2</v>
      </c>
      <c r="G2" s="14">
        <v>295</v>
      </c>
      <c r="H2" s="14" t="s">
        <v>17</v>
      </c>
      <c r="I2" s="14">
        <v>230</v>
      </c>
      <c r="J2" s="14">
        <v>2612</v>
      </c>
      <c r="K2" s="3">
        <f t="shared" ref="K2:K34" si="1">E2/D2</f>
        <v>0.12595419847328243</v>
      </c>
      <c r="L2" s="3">
        <f t="shared" ref="L2:L34" si="2">E2/(D2+E2)</f>
        <v>0.11186440677966102</v>
      </c>
    </row>
    <row r="3" spans="1:12" x14ac:dyDescent="0.25">
      <c r="A3" s="5">
        <v>1966</v>
      </c>
      <c r="B3" s="6" t="s">
        <v>14</v>
      </c>
      <c r="C3" s="5">
        <v>1538</v>
      </c>
      <c r="D3" s="5">
        <v>847</v>
      </c>
      <c r="E3" s="5">
        <v>99.8</v>
      </c>
      <c r="F3" s="5">
        <f t="shared" si="0"/>
        <v>591.20000000000005</v>
      </c>
      <c r="G3" s="5">
        <f>C3-F3</f>
        <v>946.8</v>
      </c>
      <c r="H3" s="5" t="s">
        <v>15</v>
      </c>
      <c r="I3" s="5">
        <v>287</v>
      </c>
      <c r="J3" s="5">
        <v>2630</v>
      </c>
      <c r="K3" s="3">
        <f t="shared" si="1"/>
        <v>0.117827626918536</v>
      </c>
      <c r="L3" s="3">
        <f t="shared" si="2"/>
        <v>0.10540768905787917</v>
      </c>
    </row>
    <row r="4" spans="1:12" x14ac:dyDescent="0.25">
      <c r="A4" s="8">
        <v>1966</v>
      </c>
      <c r="B4" s="9" t="s">
        <v>22</v>
      </c>
      <c r="C4" s="8">
        <v>1620</v>
      </c>
      <c r="D4" s="8">
        <v>800</v>
      </c>
      <c r="E4" s="8">
        <v>112</v>
      </c>
      <c r="F4" s="8">
        <f t="shared" si="0"/>
        <v>708</v>
      </c>
      <c r="G4" s="8">
        <f>C4-F4</f>
        <v>912</v>
      </c>
      <c r="H4" s="8" t="s">
        <v>15</v>
      </c>
      <c r="I4" s="8">
        <v>287</v>
      </c>
      <c r="J4" s="8">
        <v>1880</v>
      </c>
      <c r="K4" s="3">
        <f t="shared" si="1"/>
        <v>0.14000000000000001</v>
      </c>
      <c r="L4" s="3">
        <f t="shared" si="2"/>
        <v>0.12280701754385964</v>
      </c>
    </row>
    <row r="5" spans="1:12" x14ac:dyDescent="0.25">
      <c r="A5" s="5">
        <v>1967</v>
      </c>
      <c r="B5" s="6" t="s">
        <v>18</v>
      </c>
      <c r="C5" s="5">
        <v>1006</v>
      </c>
      <c r="D5" s="5">
        <v>271</v>
      </c>
      <c r="E5" s="5">
        <v>33.01</v>
      </c>
      <c r="F5" s="5">
        <f t="shared" si="0"/>
        <v>701.99</v>
      </c>
      <c r="G5" s="5">
        <v>304</v>
      </c>
      <c r="H5" s="5" t="s">
        <v>17</v>
      </c>
      <c r="I5" s="5">
        <v>230</v>
      </c>
      <c r="J5" s="5">
        <v>2612</v>
      </c>
      <c r="K5" s="3">
        <f t="shared" si="1"/>
        <v>0.12180811808118081</v>
      </c>
      <c r="L5" s="3">
        <f t="shared" si="2"/>
        <v>0.10858195454096904</v>
      </c>
    </row>
    <row r="6" spans="1:12" x14ac:dyDescent="0.25">
      <c r="A6" s="8">
        <v>1967</v>
      </c>
      <c r="B6" s="9" t="s">
        <v>19</v>
      </c>
      <c r="C6" s="8">
        <v>1026</v>
      </c>
      <c r="D6" s="8">
        <v>267</v>
      </c>
      <c r="E6" s="8">
        <v>33.020000000000003</v>
      </c>
      <c r="F6" s="8">
        <f t="shared" si="0"/>
        <v>725.98</v>
      </c>
      <c r="G6" s="8">
        <v>300</v>
      </c>
      <c r="H6" s="8" t="s">
        <v>17</v>
      </c>
      <c r="I6" s="8">
        <v>230</v>
      </c>
      <c r="J6" s="8">
        <v>2612</v>
      </c>
      <c r="K6" s="3">
        <f t="shared" si="1"/>
        <v>0.12367041198501874</v>
      </c>
      <c r="L6" s="3">
        <f t="shared" si="2"/>
        <v>0.11005932937804148</v>
      </c>
    </row>
    <row r="7" spans="1:12" x14ac:dyDescent="0.25">
      <c r="A7" s="5">
        <v>1967</v>
      </c>
      <c r="B7" s="6" t="s">
        <v>20</v>
      </c>
      <c r="C7" s="5">
        <v>1026</v>
      </c>
      <c r="D7" s="5">
        <v>266</v>
      </c>
      <c r="E7" s="5">
        <v>33.03</v>
      </c>
      <c r="F7" s="5">
        <f t="shared" si="0"/>
        <v>726.97</v>
      </c>
      <c r="G7" s="5">
        <v>299</v>
      </c>
      <c r="H7" s="5" t="s">
        <v>17</v>
      </c>
      <c r="I7" s="5">
        <v>230</v>
      </c>
      <c r="J7" s="5">
        <v>2612</v>
      </c>
      <c r="K7" s="3">
        <f t="shared" si="1"/>
        <v>0.12417293233082707</v>
      </c>
      <c r="L7" s="3">
        <f t="shared" si="2"/>
        <v>0.11045714476808348</v>
      </c>
    </row>
    <row r="8" spans="1:12" x14ac:dyDescent="0.25">
      <c r="A8" s="8">
        <v>1968</v>
      </c>
      <c r="B8" s="9" t="s">
        <v>16</v>
      </c>
      <c r="C8" s="8">
        <v>1039</v>
      </c>
      <c r="D8" s="8">
        <v>273</v>
      </c>
      <c r="E8" s="8">
        <v>33.04</v>
      </c>
      <c r="F8" s="8">
        <f t="shared" si="0"/>
        <v>732.96</v>
      </c>
      <c r="G8" s="8">
        <v>306</v>
      </c>
      <c r="H8" s="8" t="s">
        <v>17</v>
      </c>
      <c r="I8" s="8">
        <v>230</v>
      </c>
      <c r="J8" s="8">
        <v>2612</v>
      </c>
      <c r="K8" s="3">
        <f t="shared" si="1"/>
        <v>0.12102564102564102</v>
      </c>
      <c r="L8" s="3">
        <f t="shared" si="2"/>
        <v>0.10795974382433668</v>
      </c>
    </row>
    <row r="9" spans="1:12" x14ac:dyDescent="0.25">
      <c r="A9" s="5">
        <v>1969</v>
      </c>
      <c r="B9" s="6" t="s">
        <v>42</v>
      </c>
      <c r="C9" s="5">
        <v>15065</v>
      </c>
      <c r="D9" s="5">
        <v>2034</v>
      </c>
      <c r="E9" s="5">
        <v>4819</v>
      </c>
      <c r="F9" s="5">
        <f t="shared" si="0"/>
        <v>8212</v>
      </c>
      <c r="G9" s="5">
        <f>C9-F9</f>
        <v>6853</v>
      </c>
      <c r="H9" s="5" t="s">
        <v>43</v>
      </c>
      <c r="I9" s="5">
        <v>311</v>
      </c>
      <c r="J9" s="5">
        <v>2273</v>
      </c>
      <c r="K9" s="3">
        <f t="shared" si="1"/>
        <v>2.3692232055063913</v>
      </c>
      <c r="L9" s="3">
        <f t="shared" si="2"/>
        <v>0.70319568072377059</v>
      </c>
    </row>
    <row r="10" spans="1:12" x14ac:dyDescent="0.25">
      <c r="A10" s="8">
        <v>1969</v>
      </c>
      <c r="B10" s="9" t="s">
        <v>44</v>
      </c>
      <c r="C10" s="8">
        <v>15103</v>
      </c>
      <c r="D10" s="8">
        <v>2034</v>
      </c>
      <c r="E10" s="8">
        <v>4821</v>
      </c>
      <c r="F10" s="8">
        <f t="shared" si="0"/>
        <v>8248</v>
      </c>
      <c r="G10" s="8">
        <f>C10-F10</f>
        <v>6855</v>
      </c>
      <c r="H10" s="8" t="s">
        <v>45</v>
      </c>
      <c r="I10" s="8">
        <v>311</v>
      </c>
      <c r="J10" s="8">
        <v>2261</v>
      </c>
      <c r="K10" s="3">
        <f t="shared" si="1"/>
        <v>2.3702064896755162</v>
      </c>
      <c r="L10" s="3">
        <f t="shared" si="2"/>
        <v>0.70328227571115975</v>
      </c>
    </row>
    <row r="11" spans="1:12" x14ac:dyDescent="0.25">
      <c r="A11" s="5">
        <v>1970</v>
      </c>
      <c r="B11" s="6" t="s">
        <v>27</v>
      </c>
      <c r="C11" s="5">
        <v>5727</v>
      </c>
      <c r="D11" s="5">
        <f>G11-E11</f>
        <v>1360</v>
      </c>
      <c r="E11" s="5">
        <v>520</v>
      </c>
      <c r="F11" s="5">
        <f>C11-G11</f>
        <v>3847</v>
      </c>
      <c r="G11" s="5">
        <v>1880</v>
      </c>
      <c r="H11" s="5" t="s">
        <v>26</v>
      </c>
      <c r="I11" s="5">
        <v>314</v>
      </c>
      <c r="J11" s="5">
        <v>1880</v>
      </c>
      <c r="K11" s="3">
        <f t="shared" si="1"/>
        <v>0.38235294117647056</v>
      </c>
      <c r="L11" s="3">
        <f t="shared" si="2"/>
        <v>0.27659574468085107</v>
      </c>
    </row>
    <row r="12" spans="1:12" x14ac:dyDescent="0.25">
      <c r="A12" s="8">
        <v>1970</v>
      </c>
      <c r="B12" s="9" t="s">
        <v>29</v>
      </c>
      <c r="C12" s="8">
        <v>5660</v>
      </c>
      <c r="D12" s="8">
        <f>G12-E12</f>
        <v>1144</v>
      </c>
      <c r="E12" s="8">
        <v>756</v>
      </c>
      <c r="F12" s="8">
        <f>C12-D12-E12</f>
        <v>3760</v>
      </c>
      <c r="G12" s="8">
        <v>1900</v>
      </c>
      <c r="H12" s="8" t="s">
        <v>26</v>
      </c>
      <c r="I12" s="8">
        <v>314</v>
      </c>
      <c r="J12" s="8">
        <v>1880</v>
      </c>
      <c r="K12" s="3">
        <f t="shared" si="1"/>
        <v>0.66083916083916083</v>
      </c>
      <c r="L12" s="3">
        <f t="shared" si="2"/>
        <v>0.39789473684210525</v>
      </c>
    </row>
    <row r="13" spans="1:12" x14ac:dyDescent="0.25">
      <c r="A13" s="5">
        <v>1970</v>
      </c>
      <c r="B13" s="6" t="s">
        <v>38</v>
      </c>
      <c r="C13" s="5">
        <v>14916</v>
      </c>
      <c r="D13" s="5">
        <v>2109</v>
      </c>
      <c r="E13" s="5">
        <v>4489</v>
      </c>
      <c r="F13" s="5">
        <f>C13-D13-E13</f>
        <v>8318</v>
      </c>
      <c r="G13" s="5">
        <f>C13-F13</f>
        <v>6598</v>
      </c>
      <c r="H13" s="5" t="s">
        <v>39</v>
      </c>
      <c r="I13" s="5">
        <v>311</v>
      </c>
      <c r="J13" s="5">
        <v>2263</v>
      </c>
      <c r="K13" s="3">
        <f t="shared" si="1"/>
        <v>2.1284969179706024</v>
      </c>
      <c r="L13" s="3">
        <f t="shared" si="2"/>
        <v>0.68035768414671116</v>
      </c>
    </row>
    <row r="14" spans="1:12" x14ac:dyDescent="0.25">
      <c r="A14" s="8">
        <v>1971</v>
      </c>
      <c r="B14" s="9" t="s">
        <v>40</v>
      </c>
      <c r="C14" s="8">
        <v>15034</v>
      </c>
      <c r="D14" s="8">
        <v>2134</v>
      </c>
      <c r="E14" s="8">
        <v>4700</v>
      </c>
      <c r="F14" s="8">
        <f>C14-D14-E14</f>
        <v>8200</v>
      </c>
      <c r="G14" s="8">
        <f>C14-F14</f>
        <v>6834</v>
      </c>
      <c r="H14" s="8" t="s">
        <v>41</v>
      </c>
      <c r="I14" s="8">
        <v>311</v>
      </c>
      <c r="J14" s="8">
        <v>2263</v>
      </c>
      <c r="K14" s="3">
        <f t="shared" si="1"/>
        <v>2.202436738519213</v>
      </c>
      <c r="L14" s="3">
        <f t="shared" si="2"/>
        <v>0.68773778167983612</v>
      </c>
    </row>
    <row r="15" spans="1:12" x14ac:dyDescent="0.25">
      <c r="A15" s="5">
        <v>1971</v>
      </c>
      <c r="B15" s="6" t="s">
        <v>32</v>
      </c>
      <c r="C15" s="5">
        <v>16447</v>
      </c>
      <c r="D15" s="5">
        <v>2626</v>
      </c>
      <c r="E15" s="5">
        <v>4795</v>
      </c>
      <c r="F15" s="5">
        <f>C15-D15-E15</f>
        <v>9026</v>
      </c>
      <c r="G15" s="5">
        <f>C15-F15</f>
        <v>7421</v>
      </c>
      <c r="H15" s="5" t="s">
        <v>33</v>
      </c>
      <c r="I15" s="5">
        <v>311</v>
      </c>
      <c r="J15" s="5">
        <v>2250</v>
      </c>
      <c r="K15" s="3">
        <f t="shared" si="1"/>
        <v>1.8259710586443261</v>
      </c>
      <c r="L15" s="3">
        <f t="shared" si="2"/>
        <v>0.64613933432152004</v>
      </c>
    </row>
    <row r="16" spans="1:12" x14ac:dyDescent="0.25">
      <c r="A16" s="8">
        <v>1972</v>
      </c>
      <c r="B16" s="9" t="s">
        <v>28</v>
      </c>
      <c r="C16" s="8">
        <v>5750</v>
      </c>
      <c r="D16" s="8">
        <f>G16-E16</f>
        <v>1359.99</v>
      </c>
      <c r="E16" s="8">
        <v>520.01</v>
      </c>
      <c r="F16" s="8">
        <f>C16-G16</f>
        <v>3870</v>
      </c>
      <c r="G16" s="8">
        <v>1880</v>
      </c>
      <c r="H16" s="8" t="s">
        <v>26</v>
      </c>
      <c r="I16" s="8">
        <v>314</v>
      </c>
      <c r="J16" s="8">
        <v>1880</v>
      </c>
      <c r="K16" s="3">
        <f t="shared" si="1"/>
        <v>0.38236310561107067</v>
      </c>
      <c r="L16" s="3">
        <f t="shared" si="2"/>
        <v>0.27660106382978722</v>
      </c>
    </row>
    <row r="17" spans="1:12" x14ac:dyDescent="0.25">
      <c r="A17" s="5">
        <v>1972</v>
      </c>
      <c r="B17" s="6" t="s">
        <v>34</v>
      </c>
      <c r="C17" s="5">
        <v>16447</v>
      </c>
      <c r="D17" s="5">
        <v>2626</v>
      </c>
      <c r="E17" s="5">
        <v>4795.01</v>
      </c>
      <c r="F17" s="5">
        <f>C17-D17-E17</f>
        <v>9025.99</v>
      </c>
      <c r="G17" s="5">
        <f>C17-F17</f>
        <v>7421.01</v>
      </c>
      <c r="H17" s="5" t="s">
        <v>35</v>
      </c>
      <c r="I17" s="5">
        <v>311</v>
      </c>
      <c r="J17" s="5">
        <v>2267</v>
      </c>
      <c r="K17" s="3">
        <f t="shared" si="1"/>
        <v>1.8259748667174411</v>
      </c>
      <c r="L17" s="3">
        <f t="shared" si="2"/>
        <v>0.64613981115778041</v>
      </c>
    </row>
    <row r="18" spans="1:12" x14ac:dyDescent="0.25">
      <c r="A18" s="8">
        <v>1972</v>
      </c>
      <c r="B18" s="9" t="s">
        <v>36</v>
      </c>
      <c r="C18" s="8">
        <v>16447</v>
      </c>
      <c r="D18" s="8">
        <v>2626</v>
      </c>
      <c r="E18" s="8">
        <v>4795.0200000000004</v>
      </c>
      <c r="F18" s="8">
        <f>C18-D18-E18</f>
        <v>9025.98</v>
      </c>
      <c r="G18" s="8">
        <f>C18-F18</f>
        <v>7421.02</v>
      </c>
      <c r="H18" s="8" t="s">
        <v>37</v>
      </c>
      <c r="I18" s="8">
        <v>311</v>
      </c>
      <c r="J18" s="8">
        <v>2265</v>
      </c>
      <c r="K18" s="3">
        <f t="shared" si="1"/>
        <v>1.8259786747905562</v>
      </c>
      <c r="L18" s="3">
        <f t="shared" si="2"/>
        <v>0.64614028799275569</v>
      </c>
    </row>
    <row r="19" spans="1:12" x14ac:dyDescent="0.25">
      <c r="A19" s="5">
        <v>1973</v>
      </c>
      <c r="B19" s="6" t="s">
        <v>31</v>
      </c>
      <c r="C19" s="5">
        <v>5700</v>
      </c>
      <c r="D19" s="5">
        <f>G19-E19</f>
        <v>1000</v>
      </c>
      <c r="E19" s="5">
        <v>836</v>
      </c>
      <c r="F19" s="5">
        <f>C19-D19-E19</f>
        <v>3864</v>
      </c>
      <c r="G19" s="5">
        <v>1836</v>
      </c>
      <c r="H19" s="5" t="s">
        <v>26</v>
      </c>
      <c r="I19" s="5">
        <v>314</v>
      </c>
      <c r="J19" s="5">
        <v>1880</v>
      </c>
      <c r="K19" s="3">
        <f t="shared" si="1"/>
        <v>0.83599999999999997</v>
      </c>
      <c r="L19" s="3">
        <f t="shared" si="2"/>
        <v>0.45533769063180829</v>
      </c>
    </row>
    <row r="20" spans="1:12" x14ac:dyDescent="0.25">
      <c r="A20" s="8">
        <v>1976</v>
      </c>
      <c r="B20" s="9" t="s">
        <v>25</v>
      </c>
      <c r="C20" s="8">
        <v>5795</v>
      </c>
      <c r="D20" s="8">
        <f>G20-E20</f>
        <v>1365</v>
      </c>
      <c r="E20" s="8">
        <v>515</v>
      </c>
      <c r="F20" s="8">
        <f>C20-G20</f>
        <v>3915</v>
      </c>
      <c r="G20" s="8">
        <v>1880</v>
      </c>
      <c r="H20" s="8" t="s">
        <v>26</v>
      </c>
      <c r="I20" s="8">
        <v>314</v>
      </c>
      <c r="J20" s="8">
        <v>1880</v>
      </c>
      <c r="K20" s="3">
        <f t="shared" si="1"/>
        <v>0.37728937728937728</v>
      </c>
      <c r="L20" s="3">
        <f t="shared" si="2"/>
        <v>0.27393617021276595</v>
      </c>
    </row>
    <row r="21" spans="1:12" x14ac:dyDescent="0.25">
      <c r="A21" s="5">
        <v>2013</v>
      </c>
      <c r="B21" s="6" t="s">
        <v>23</v>
      </c>
      <c r="C21" s="5">
        <v>3780</v>
      </c>
      <c r="D21" s="5">
        <v>1200</v>
      </c>
      <c r="E21" s="5">
        <v>170</v>
      </c>
      <c r="F21" s="5">
        <v>2410</v>
      </c>
      <c r="G21" s="5">
        <v>1370</v>
      </c>
      <c r="H21" s="5" t="s">
        <v>7</v>
      </c>
      <c r="I21" s="5">
        <v>333</v>
      </c>
      <c r="J21" s="5">
        <v>1880</v>
      </c>
      <c r="K21" s="3">
        <f t="shared" si="1"/>
        <v>0.14166666666666666</v>
      </c>
      <c r="L21" s="3">
        <f t="shared" si="2"/>
        <v>0.12408759124087591</v>
      </c>
    </row>
    <row r="22" spans="1:12" x14ac:dyDescent="0.25">
      <c r="A22" s="8">
        <v>2019</v>
      </c>
      <c r="B22" s="9" t="s">
        <v>46</v>
      </c>
      <c r="C22" s="8">
        <v>585</v>
      </c>
      <c r="D22" s="8">
        <v>150</v>
      </c>
      <c r="E22" s="8">
        <v>0.1</v>
      </c>
      <c r="F22" s="8">
        <v>435</v>
      </c>
      <c r="G22" s="8">
        <v>150</v>
      </c>
      <c r="H22" s="8" t="s">
        <v>9</v>
      </c>
      <c r="I22" s="8">
        <v>318</v>
      </c>
      <c r="J22" s="8">
        <v>1930</v>
      </c>
      <c r="K22" s="3">
        <f t="shared" si="1"/>
        <v>6.6666666666666675E-4</v>
      </c>
      <c r="L22" s="3">
        <f t="shared" si="2"/>
        <v>6.6622251832111927E-4</v>
      </c>
    </row>
    <row r="23" spans="1:12" x14ac:dyDescent="0.25">
      <c r="A23" s="5">
        <v>2019</v>
      </c>
      <c r="B23" s="6" t="s">
        <v>8</v>
      </c>
      <c r="C23" s="5">
        <v>1471</v>
      </c>
      <c r="D23" s="5">
        <v>626</v>
      </c>
      <c r="E23" s="5">
        <v>27</v>
      </c>
      <c r="F23" s="5">
        <v>818</v>
      </c>
      <c r="G23" s="5">
        <v>653</v>
      </c>
      <c r="H23" s="5" t="s">
        <v>9</v>
      </c>
      <c r="I23" s="5">
        <v>318</v>
      </c>
      <c r="J23" s="5">
        <v>2000</v>
      </c>
      <c r="K23" s="3">
        <f t="shared" si="1"/>
        <v>4.3130990415335461E-2</v>
      </c>
      <c r="L23" s="3">
        <f t="shared" si="2"/>
        <v>4.1347626339969371E-2</v>
      </c>
    </row>
    <row r="24" spans="1:12" x14ac:dyDescent="0.25">
      <c r="A24" s="8">
        <v>2019</v>
      </c>
      <c r="B24" s="9" t="s">
        <v>24</v>
      </c>
      <c r="C24" s="8">
        <v>3640</v>
      </c>
      <c r="D24" s="8">
        <v>1200</v>
      </c>
      <c r="E24" s="8">
        <v>170.01</v>
      </c>
      <c r="F24" s="8">
        <v>2270</v>
      </c>
      <c r="G24" s="8">
        <v>1370</v>
      </c>
      <c r="H24" s="8" t="s">
        <v>7</v>
      </c>
      <c r="I24" s="8">
        <v>333</v>
      </c>
      <c r="J24" s="8">
        <v>1880</v>
      </c>
      <c r="K24" s="3">
        <f t="shared" si="1"/>
        <v>0.141675</v>
      </c>
      <c r="L24" s="3">
        <f t="shared" si="2"/>
        <v>0.12409398471544003</v>
      </c>
    </row>
    <row r="25" spans="1:12" x14ac:dyDescent="0.25">
      <c r="A25" s="5">
        <v>2020</v>
      </c>
      <c r="B25" s="6" t="s">
        <v>30</v>
      </c>
      <c r="C25" s="5">
        <v>3800</v>
      </c>
      <c r="D25" s="5">
        <v>1200</v>
      </c>
      <c r="E25" s="5">
        <v>800</v>
      </c>
      <c r="F25" s="5">
        <v>1800</v>
      </c>
      <c r="G25" s="5">
        <v>2000</v>
      </c>
      <c r="H25" s="5" t="s">
        <v>7</v>
      </c>
      <c r="I25" s="5">
        <v>333</v>
      </c>
      <c r="J25" s="5">
        <v>1930</v>
      </c>
      <c r="K25" s="3">
        <f t="shared" si="1"/>
        <v>0.66666666666666663</v>
      </c>
      <c r="L25" s="3">
        <f t="shared" si="2"/>
        <v>0.4</v>
      </c>
    </row>
    <row r="26" spans="1:12" x14ac:dyDescent="0.25">
      <c r="A26" s="8">
        <v>2022</v>
      </c>
      <c r="B26" s="9" t="s">
        <v>47</v>
      </c>
      <c r="C26" s="8">
        <v>14.6</v>
      </c>
      <c r="D26" s="8">
        <v>0.7</v>
      </c>
      <c r="E26" s="8">
        <v>0.10100000000000001</v>
      </c>
      <c r="F26" s="8">
        <v>13.9</v>
      </c>
      <c r="G26" s="8">
        <v>0.69999999999999929</v>
      </c>
      <c r="H26" s="8" t="s">
        <v>48</v>
      </c>
      <c r="I26" s="8">
        <v>287</v>
      </c>
      <c r="J26" s="8">
        <v>2500</v>
      </c>
      <c r="K26" s="3">
        <f t="shared" si="1"/>
        <v>0.14428571428571429</v>
      </c>
      <c r="L26" s="3">
        <f t="shared" si="2"/>
        <v>0.12609238451935084</v>
      </c>
    </row>
    <row r="27" spans="1:12" x14ac:dyDescent="0.25">
      <c r="A27" s="5">
        <v>2023</v>
      </c>
      <c r="B27" s="6" t="s">
        <v>6</v>
      </c>
      <c r="C27" s="5">
        <v>1750</v>
      </c>
      <c r="D27" s="5">
        <v>770</v>
      </c>
      <c r="E27" s="5">
        <v>30</v>
      </c>
      <c r="F27" s="5">
        <v>950</v>
      </c>
      <c r="G27" s="5">
        <v>800</v>
      </c>
      <c r="H27" s="5" t="s">
        <v>7</v>
      </c>
      <c r="I27" s="5">
        <v>333</v>
      </c>
      <c r="J27" s="5"/>
      <c r="K27" s="3">
        <f t="shared" si="1"/>
        <v>3.896103896103896E-2</v>
      </c>
      <c r="L27" s="3">
        <f t="shared" si="2"/>
        <v>3.7499999999999999E-2</v>
      </c>
    </row>
    <row r="28" spans="1:12" x14ac:dyDescent="0.25">
      <c r="A28" s="8">
        <v>2023</v>
      </c>
      <c r="B28" s="9" t="s">
        <v>10</v>
      </c>
      <c r="C28" s="8">
        <v>1000</v>
      </c>
      <c r="D28" s="8">
        <v>340</v>
      </c>
      <c r="E28" s="8">
        <v>30.01</v>
      </c>
      <c r="F28" s="8">
        <v>630</v>
      </c>
      <c r="G28" s="8">
        <v>370</v>
      </c>
      <c r="H28" s="8" t="s">
        <v>11</v>
      </c>
      <c r="I28" s="8">
        <v>336</v>
      </c>
      <c r="J28" s="8">
        <v>2000</v>
      </c>
      <c r="K28" s="3">
        <f t="shared" si="1"/>
        <v>8.826470588235294E-2</v>
      </c>
      <c r="L28" s="3">
        <f t="shared" si="2"/>
        <v>8.1105916056322808E-2</v>
      </c>
    </row>
    <row r="29" spans="1:12" x14ac:dyDescent="0.25">
      <c r="A29" s="5">
        <v>2024</v>
      </c>
      <c r="B29" s="6" t="s">
        <v>12</v>
      </c>
      <c r="C29" s="5">
        <v>710</v>
      </c>
      <c r="D29" s="5">
        <v>190</v>
      </c>
      <c r="E29" s="5">
        <v>20</v>
      </c>
      <c r="F29" s="5">
        <v>500</v>
      </c>
      <c r="G29" s="5">
        <v>210</v>
      </c>
      <c r="H29" s="5" t="s">
        <v>13</v>
      </c>
      <c r="I29" s="5">
        <v>328</v>
      </c>
      <c r="J29" s="5">
        <v>2774</v>
      </c>
      <c r="K29" s="3">
        <f t="shared" si="1"/>
        <v>0.10526315789473684</v>
      </c>
      <c r="L29" s="3">
        <f t="shared" si="2"/>
        <v>9.5238095238095233E-2</v>
      </c>
    </row>
    <row r="30" spans="1:12" x14ac:dyDescent="0.25">
      <c r="A30" s="8">
        <v>2024</v>
      </c>
      <c r="B30" s="9" t="s">
        <v>51</v>
      </c>
      <c r="C30" s="8">
        <v>1908</v>
      </c>
      <c r="D30" s="8">
        <f>675-E30</f>
        <v>545</v>
      </c>
      <c r="E30" s="8">
        <v>130</v>
      </c>
      <c r="F30" s="8">
        <v>1276</v>
      </c>
      <c r="G30" s="8">
        <f>675</f>
        <v>675</v>
      </c>
      <c r="H30" s="8" t="s">
        <v>52</v>
      </c>
      <c r="I30" s="8">
        <v>360</v>
      </c>
      <c r="J30" s="8">
        <v>2500</v>
      </c>
      <c r="K30" s="3">
        <f t="shared" si="1"/>
        <v>0.23853211009174313</v>
      </c>
      <c r="L30" s="3">
        <f t="shared" si="2"/>
        <v>0.19259259259259259</v>
      </c>
    </row>
    <row r="31" spans="1:12" x14ac:dyDescent="0.25">
      <c r="A31" s="5">
        <v>2024</v>
      </c>
      <c r="B31" s="6" t="s">
        <v>59</v>
      </c>
      <c r="C31" s="5">
        <v>3800</v>
      </c>
      <c r="D31" s="5">
        <v>1200</v>
      </c>
      <c r="E31" s="5">
        <v>800</v>
      </c>
      <c r="F31" s="5">
        <v>1800</v>
      </c>
      <c r="G31" s="5">
        <v>2000</v>
      </c>
      <c r="H31" s="5" t="s">
        <v>7</v>
      </c>
      <c r="I31" s="5">
        <v>333</v>
      </c>
      <c r="J31" s="5">
        <v>1930</v>
      </c>
      <c r="K31" s="3">
        <f t="shared" si="1"/>
        <v>0.66666666666666663</v>
      </c>
      <c r="L31" s="3">
        <f t="shared" si="2"/>
        <v>0.4</v>
      </c>
    </row>
    <row r="32" spans="1:12" x14ac:dyDescent="0.25">
      <c r="A32" s="8">
        <v>2025</v>
      </c>
      <c r="B32" s="9" t="s">
        <v>60</v>
      </c>
      <c r="C32" s="8">
        <v>1517</v>
      </c>
      <c r="D32" s="8">
        <f>C32-E32-F32</f>
        <v>331</v>
      </c>
      <c r="E32" s="8">
        <v>150</v>
      </c>
      <c r="F32" s="8">
        <v>1036</v>
      </c>
      <c r="G32" s="8">
        <f>C32-F32</f>
        <v>481</v>
      </c>
      <c r="H32" s="8" t="s">
        <v>9</v>
      </c>
      <c r="I32" s="8">
        <v>340</v>
      </c>
      <c r="J32" s="8"/>
      <c r="K32" s="3">
        <f t="shared" si="1"/>
        <v>0.45317220543806647</v>
      </c>
      <c r="L32" s="3">
        <f t="shared" si="2"/>
        <v>0.31185031185031187</v>
      </c>
    </row>
    <row r="33" spans="1:12" x14ac:dyDescent="0.25">
      <c r="A33" s="5">
        <v>2025</v>
      </c>
      <c r="B33" s="6" t="s">
        <v>61</v>
      </c>
      <c r="C33" s="5">
        <v>2120</v>
      </c>
      <c r="D33" s="5">
        <f>675-130</f>
        <v>545</v>
      </c>
      <c r="E33" s="5">
        <v>130</v>
      </c>
      <c r="F33" s="5">
        <f>C33-D33-E33</f>
        <v>1445</v>
      </c>
      <c r="G33" s="5">
        <f>C33-F33</f>
        <v>675</v>
      </c>
      <c r="H33" s="5" t="s">
        <v>52</v>
      </c>
      <c r="I33" s="5">
        <v>360</v>
      </c>
      <c r="J33" s="5"/>
      <c r="K33" s="3">
        <f t="shared" si="1"/>
        <v>0.23853211009174313</v>
      </c>
      <c r="L33" s="3">
        <f t="shared" si="2"/>
        <v>0.19259259259259259</v>
      </c>
    </row>
    <row r="34" spans="1:12" x14ac:dyDescent="0.25">
      <c r="A34" s="8">
        <v>2025</v>
      </c>
      <c r="B34" s="9" t="s">
        <v>62</v>
      </c>
      <c r="C34" s="8">
        <v>1000</v>
      </c>
      <c r="D34" s="8">
        <v>340</v>
      </c>
      <c r="E34" s="8">
        <v>30</v>
      </c>
      <c r="F34" s="8">
        <f>C34-E34-D34</f>
        <v>630</v>
      </c>
      <c r="G34" s="8">
        <f>C34-F34</f>
        <v>370</v>
      </c>
      <c r="H34" s="8" t="s">
        <v>11</v>
      </c>
      <c r="I34" s="8">
        <v>336</v>
      </c>
      <c r="J34" s="8"/>
      <c r="K34" s="3">
        <f t="shared" si="1"/>
        <v>8.8235294117647065E-2</v>
      </c>
      <c r="L34" s="3">
        <f t="shared" si="2"/>
        <v>8.1081081081081086E-2</v>
      </c>
    </row>
  </sheetData>
  <sortState xmlns:xlrd2="http://schemas.microsoft.com/office/spreadsheetml/2017/richdata2" ref="A2:L34">
    <sortCondition ref="A2:A34"/>
  </sortState>
  <conditionalFormatting sqref="K2:K3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FE63-1677-42A4-8B75-DD4C8D8979A4}">
  <dimension ref="A1:L32"/>
  <sheetViews>
    <sheetView topLeftCell="A8" zoomScale="74" workbookViewId="0">
      <selection sqref="A1:L32"/>
    </sheetView>
  </sheetViews>
  <sheetFormatPr baseColWidth="10" defaultColWidth="10.7109375" defaultRowHeight="15" x14ac:dyDescent="0.25"/>
  <sheetData>
    <row r="1" spans="1:12" x14ac:dyDescent="0.2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2" x14ac:dyDescent="0.25">
      <c r="A2" s="11">
        <v>1966</v>
      </c>
      <c r="B2" s="12" t="s">
        <v>22</v>
      </c>
      <c r="C2" s="11">
        <v>1620</v>
      </c>
      <c r="D2" s="11">
        <v>800</v>
      </c>
      <c r="E2" s="11">
        <v>112</v>
      </c>
      <c r="F2" s="11">
        <f t="shared" ref="F2:F12" si="0">C2-D2-E2</f>
        <v>708</v>
      </c>
      <c r="G2" s="11">
        <f>C2-F2</f>
        <v>912</v>
      </c>
      <c r="H2" s="11" t="s">
        <v>15</v>
      </c>
      <c r="I2" s="11">
        <v>287</v>
      </c>
      <c r="J2" s="11">
        <v>1880</v>
      </c>
      <c r="K2" s="3">
        <f t="shared" ref="K2:K28" si="1">E2/D2</f>
        <v>0.14000000000000001</v>
      </c>
      <c r="L2" s="3">
        <f t="shared" ref="L2:L28" si="2">E2/(D2+E2)</f>
        <v>0.12280701754385964</v>
      </c>
    </row>
    <row r="3" spans="1:12" x14ac:dyDescent="0.25">
      <c r="A3" s="8">
        <v>1966</v>
      </c>
      <c r="B3" s="9" t="s">
        <v>14</v>
      </c>
      <c r="C3" s="8">
        <v>1538</v>
      </c>
      <c r="D3" s="8">
        <v>847</v>
      </c>
      <c r="E3" s="8">
        <v>99.8</v>
      </c>
      <c r="F3" s="8">
        <f t="shared" si="0"/>
        <v>591.20000000000005</v>
      </c>
      <c r="G3" s="8">
        <f>C3-F3</f>
        <v>946.8</v>
      </c>
      <c r="H3" s="8" t="s">
        <v>15</v>
      </c>
      <c r="I3" s="8">
        <v>287</v>
      </c>
      <c r="J3" s="8">
        <v>2630</v>
      </c>
      <c r="K3" s="3">
        <f t="shared" si="1"/>
        <v>0.117827626918536</v>
      </c>
      <c r="L3" s="3">
        <f t="shared" si="2"/>
        <v>0.10540768905787917</v>
      </c>
    </row>
    <row r="4" spans="1:12" x14ac:dyDescent="0.25">
      <c r="A4" s="8">
        <v>1966</v>
      </c>
      <c r="B4" s="9" t="s">
        <v>21</v>
      </c>
      <c r="C4" s="8">
        <v>995.2</v>
      </c>
      <c r="D4" s="8">
        <v>262</v>
      </c>
      <c r="E4" s="8">
        <v>33</v>
      </c>
      <c r="F4" s="8">
        <f t="shared" si="0"/>
        <v>700.2</v>
      </c>
      <c r="G4" s="8">
        <v>295</v>
      </c>
      <c r="H4" s="8" t="s">
        <v>17</v>
      </c>
      <c r="I4" s="8">
        <v>230</v>
      </c>
      <c r="J4" s="7">
        <v>2612</v>
      </c>
      <c r="K4" s="3">
        <f t="shared" si="1"/>
        <v>0.12595419847328243</v>
      </c>
      <c r="L4" s="3">
        <f t="shared" si="2"/>
        <v>0.11186440677966102</v>
      </c>
    </row>
    <row r="5" spans="1:12" x14ac:dyDescent="0.25">
      <c r="A5" s="8">
        <v>1967</v>
      </c>
      <c r="B5" s="9" t="s">
        <v>18</v>
      </c>
      <c r="C5" s="8">
        <v>1006</v>
      </c>
      <c r="D5" s="8">
        <v>271</v>
      </c>
      <c r="E5" s="8">
        <v>33</v>
      </c>
      <c r="F5" s="8">
        <f t="shared" si="0"/>
        <v>702</v>
      </c>
      <c r="G5" s="8">
        <v>304</v>
      </c>
      <c r="H5" s="8" t="s">
        <v>17</v>
      </c>
      <c r="I5" s="8">
        <v>230</v>
      </c>
      <c r="J5" s="7">
        <v>2612</v>
      </c>
      <c r="K5" s="3">
        <f t="shared" si="1"/>
        <v>0.12177121771217712</v>
      </c>
      <c r="L5" s="3">
        <f t="shared" si="2"/>
        <v>0.10855263157894737</v>
      </c>
    </row>
    <row r="6" spans="1:12" x14ac:dyDescent="0.25">
      <c r="A6" s="5">
        <v>1967</v>
      </c>
      <c r="B6" s="6" t="s">
        <v>19</v>
      </c>
      <c r="C6" s="5">
        <v>1026</v>
      </c>
      <c r="D6" s="5">
        <v>267</v>
      </c>
      <c r="E6" s="5">
        <v>33</v>
      </c>
      <c r="F6" s="5">
        <f t="shared" si="0"/>
        <v>726</v>
      </c>
      <c r="G6" s="5">
        <v>300</v>
      </c>
      <c r="H6" s="5" t="s">
        <v>17</v>
      </c>
      <c r="I6" s="5">
        <v>230</v>
      </c>
      <c r="J6" s="7">
        <v>2612</v>
      </c>
      <c r="K6" s="3">
        <f t="shared" si="1"/>
        <v>0.12359550561797752</v>
      </c>
      <c r="L6" s="3">
        <f t="shared" si="2"/>
        <v>0.11</v>
      </c>
    </row>
    <row r="7" spans="1:12" x14ac:dyDescent="0.25">
      <c r="A7" s="5">
        <v>1967</v>
      </c>
      <c r="B7" s="6" t="s">
        <v>20</v>
      </c>
      <c r="C7" s="5">
        <v>1026</v>
      </c>
      <c r="D7" s="5">
        <v>266</v>
      </c>
      <c r="E7" s="5">
        <v>33</v>
      </c>
      <c r="F7" s="5">
        <f t="shared" si="0"/>
        <v>727</v>
      </c>
      <c r="G7" s="5">
        <v>299</v>
      </c>
      <c r="H7" s="5" t="s">
        <v>17</v>
      </c>
      <c r="I7" s="5">
        <v>230</v>
      </c>
      <c r="J7" s="7">
        <v>2612</v>
      </c>
      <c r="K7" s="3">
        <f t="shared" si="1"/>
        <v>0.12406015037593984</v>
      </c>
      <c r="L7" s="3">
        <f t="shared" si="2"/>
        <v>0.11036789297658862</v>
      </c>
    </row>
    <row r="8" spans="1:12" x14ac:dyDescent="0.25">
      <c r="A8" s="8">
        <v>1968</v>
      </c>
      <c r="B8" s="9" t="s">
        <v>16</v>
      </c>
      <c r="C8" s="8">
        <v>1039</v>
      </c>
      <c r="D8" s="8">
        <v>273</v>
      </c>
      <c r="E8" s="8">
        <v>33</v>
      </c>
      <c r="F8" s="8">
        <f t="shared" si="0"/>
        <v>733</v>
      </c>
      <c r="G8" s="8">
        <v>306</v>
      </c>
      <c r="H8" s="8" t="s">
        <v>17</v>
      </c>
      <c r="I8" s="8">
        <v>230</v>
      </c>
      <c r="J8" s="7">
        <v>2612</v>
      </c>
      <c r="K8" s="3">
        <f t="shared" si="1"/>
        <v>0.12087912087912088</v>
      </c>
      <c r="L8" s="3">
        <f t="shared" si="2"/>
        <v>0.10784313725490197</v>
      </c>
    </row>
    <row r="9" spans="1:12" x14ac:dyDescent="0.25">
      <c r="A9" s="8">
        <v>1969</v>
      </c>
      <c r="B9" s="9" t="s">
        <v>44</v>
      </c>
      <c r="C9" s="8">
        <v>15103</v>
      </c>
      <c r="D9" s="4">
        <v>2034</v>
      </c>
      <c r="E9" s="8">
        <v>4821</v>
      </c>
      <c r="F9" s="8">
        <f t="shared" si="0"/>
        <v>8248</v>
      </c>
      <c r="G9" s="8">
        <f>C9-F9</f>
        <v>6855</v>
      </c>
      <c r="H9" s="8" t="s">
        <v>45</v>
      </c>
      <c r="I9" s="8">
        <v>311</v>
      </c>
      <c r="J9" s="8">
        <v>2261</v>
      </c>
      <c r="K9" s="3">
        <f t="shared" si="1"/>
        <v>2.3702064896755162</v>
      </c>
      <c r="L9" s="3">
        <f t="shared" si="2"/>
        <v>0.70328227571115975</v>
      </c>
    </row>
    <row r="10" spans="1:12" x14ac:dyDescent="0.25">
      <c r="A10" s="5">
        <v>1969</v>
      </c>
      <c r="B10" s="6" t="s">
        <v>42</v>
      </c>
      <c r="C10" s="5">
        <v>15065</v>
      </c>
      <c r="D10" s="13">
        <v>2034</v>
      </c>
      <c r="E10" s="5">
        <v>4819</v>
      </c>
      <c r="F10" s="5">
        <f t="shared" si="0"/>
        <v>8212</v>
      </c>
      <c r="G10" s="5">
        <f>C10-F10</f>
        <v>6853</v>
      </c>
      <c r="H10" s="5" t="s">
        <v>43</v>
      </c>
      <c r="I10" s="5">
        <v>311</v>
      </c>
      <c r="J10" s="5">
        <v>2273</v>
      </c>
      <c r="K10" s="3">
        <f t="shared" si="1"/>
        <v>2.3692232055063913</v>
      </c>
      <c r="L10" s="3">
        <f t="shared" si="2"/>
        <v>0.70319568072377059</v>
      </c>
    </row>
    <row r="11" spans="1:12" x14ac:dyDescent="0.25">
      <c r="A11" s="5">
        <v>1970</v>
      </c>
      <c r="B11" s="6" t="s">
        <v>38</v>
      </c>
      <c r="C11" s="5">
        <v>14916</v>
      </c>
      <c r="D11" s="13">
        <v>2109</v>
      </c>
      <c r="E11" s="5">
        <v>4489</v>
      </c>
      <c r="F11" s="5">
        <f t="shared" si="0"/>
        <v>8318</v>
      </c>
      <c r="G11" s="5">
        <f>C11-F11</f>
        <v>6598</v>
      </c>
      <c r="H11" s="5" t="s">
        <v>39</v>
      </c>
      <c r="I11" s="5">
        <v>311</v>
      </c>
      <c r="J11" s="5">
        <v>2263</v>
      </c>
      <c r="K11" s="3">
        <f t="shared" si="1"/>
        <v>2.1284969179706024</v>
      </c>
      <c r="L11" s="3">
        <f t="shared" si="2"/>
        <v>0.68035768414671116</v>
      </c>
    </row>
    <row r="12" spans="1:12" x14ac:dyDescent="0.25">
      <c r="A12" s="5">
        <v>1970</v>
      </c>
      <c r="B12" s="6" t="s">
        <v>29</v>
      </c>
      <c r="C12" s="5">
        <v>5660</v>
      </c>
      <c r="D12" s="5">
        <f>G12-E12</f>
        <v>1144</v>
      </c>
      <c r="E12" s="5">
        <v>756</v>
      </c>
      <c r="F12" s="5">
        <f t="shared" si="0"/>
        <v>3760</v>
      </c>
      <c r="G12" s="5">
        <v>1900</v>
      </c>
      <c r="H12" s="5" t="s">
        <v>26</v>
      </c>
      <c r="I12" s="5">
        <v>314</v>
      </c>
      <c r="J12" s="5">
        <v>1880</v>
      </c>
      <c r="K12" s="3">
        <f t="shared" si="1"/>
        <v>0.66083916083916083</v>
      </c>
      <c r="L12" s="3">
        <f t="shared" si="2"/>
        <v>0.39789473684210525</v>
      </c>
    </row>
    <row r="13" spans="1:12" x14ac:dyDescent="0.25">
      <c r="A13" s="8">
        <v>1970</v>
      </c>
      <c r="B13" s="9" t="s">
        <v>27</v>
      </c>
      <c r="C13" s="8">
        <v>5727</v>
      </c>
      <c r="D13" s="8">
        <f>G13-E13</f>
        <v>1360</v>
      </c>
      <c r="E13" s="8">
        <v>520</v>
      </c>
      <c r="F13" s="8">
        <f>C13-G13</f>
        <v>3847</v>
      </c>
      <c r="G13" s="8">
        <v>1880</v>
      </c>
      <c r="H13" s="8" t="s">
        <v>26</v>
      </c>
      <c r="I13" s="8">
        <v>314</v>
      </c>
      <c r="J13" s="8">
        <v>1880</v>
      </c>
      <c r="K13" s="3">
        <f t="shared" si="1"/>
        <v>0.38235294117647056</v>
      </c>
      <c r="L13" s="3">
        <f t="shared" si="2"/>
        <v>0.27659574468085107</v>
      </c>
    </row>
    <row r="14" spans="1:12" x14ac:dyDescent="0.25">
      <c r="A14" s="5">
        <v>1971</v>
      </c>
      <c r="B14" s="6" t="s">
        <v>32</v>
      </c>
      <c r="C14" s="5">
        <v>16447</v>
      </c>
      <c r="D14" s="5">
        <v>2626</v>
      </c>
      <c r="E14" s="5">
        <v>4795</v>
      </c>
      <c r="F14" s="5">
        <f>C14-D14-E14</f>
        <v>9026</v>
      </c>
      <c r="G14" s="5">
        <f>C14-F14</f>
        <v>7421</v>
      </c>
      <c r="H14" s="5" t="s">
        <v>33</v>
      </c>
      <c r="I14" s="5">
        <v>311</v>
      </c>
      <c r="J14" s="5">
        <v>2250</v>
      </c>
      <c r="K14" s="3">
        <f t="shared" si="1"/>
        <v>1.8259710586443261</v>
      </c>
      <c r="L14" s="3">
        <f t="shared" si="2"/>
        <v>0.64613933432152004</v>
      </c>
    </row>
    <row r="15" spans="1:12" x14ac:dyDescent="0.25">
      <c r="A15" s="8">
        <v>1971</v>
      </c>
      <c r="B15" s="9" t="s">
        <v>40</v>
      </c>
      <c r="C15" s="8">
        <v>15034</v>
      </c>
      <c r="D15" s="8">
        <v>2134</v>
      </c>
      <c r="E15" s="8">
        <v>4700</v>
      </c>
      <c r="F15" s="8">
        <f>C15-D15-E15</f>
        <v>8200</v>
      </c>
      <c r="G15" s="8">
        <f>C15-F15</f>
        <v>6834</v>
      </c>
      <c r="H15" s="8" t="s">
        <v>41</v>
      </c>
      <c r="I15" s="8">
        <v>311</v>
      </c>
      <c r="J15" s="8">
        <v>2263</v>
      </c>
      <c r="K15" s="3">
        <f t="shared" si="1"/>
        <v>2.202436738519213</v>
      </c>
      <c r="L15" s="3">
        <f t="shared" si="2"/>
        <v>0.68773778167983612</v>
      </c>
    </row>
    <row r="16" spans="1:12" x14ac:dyDescent="0.25">
      <c r="A16" s="8">
        <v>1972</v>
      </c>
      <c r="B16" s="9" t="s">
        <v>34</v>
      </c>
      <c r="C16" s="8">
        <v>16447</v>
      </c>
      <c r="D16" s="8">
        <v>2626</v>
      </c>
      <c r="E16" s="8">
        <v>4795</v>
      </c>
      <c r="F16" s="8">
        <f>C16-D16-E16</f>
        <v>9026</v>
      </c>
      <c r="G16" s="8">
        <f>C16-F16</f>
        <v>7421</v>
      </c>
      <c r="H16" s="8" t="s">
        <v>35</v>
      </c>
      <c r="I16" s="8">
        <v>311</v>
      </c>
      <c r="J16" s="8">
        <v>2267</v>
      </c>
      <c r="K16" s="3">
        <f t="shared" si="1"/>
        <v>1.8259710586443261</v>
      </c>
      <c r="L16" s="3">
        <f t="shared" si="2"/>
        <v>0.64613933432152004</v>
      </c>
    </row>
    <row r="17" spans="1:12" x14ac:dyDescent="0.25">
      <c r="A17" s="5">
        <v>1972</v>
      </c>
      <c r="B17" s="6" t="s">
        <v>36</v>
      </c>
      <c r="C17" s="5">
        <v>16447</v>
      </c>
      <c r="D17" s="5">
        <v>2626</v>
      </c>
      <c r="E17" s="5">
        <v>4795</v>
      </c>
      <c r="F17" s="5">
        <f>C17-D17-E17</f>
        <v>9026</v>
      </c>
      <c r="G17" s="5">
        <f>C17-F17</f>
        <v>7421</v>
      </c>
      <c r="H17" s="5" t="s">
        <v>37</v>
      </c>
      <c r="I17" s="5">
        <v>311</v>
      </c>
      <c r="J17" s="5">
        <v>2265</v>
      </c>
      <c r="K17" s="3">
        <f t="shared" si="1"/>
        <v>1.8259710586443261</v>
      </c>
      <c r="L17" s="3">
        <f t="shared" si="2"/>
        <v>0.64613933432152004</v>
      </c>
    </row>
    <row r="18" spans="1:12" x14ac:dyDescent="0.25">
      <c r="A18" s="5">
        <v>1972</v>
      </c>
      <c r="B18" s="6" t="s">
        <v>28</v>
      </c>
      <c r="C18" s="5">
        <v>5750</v>
      </c>
      <c r="D18" s="5">
        <f>G18-E18</f>
        <v>1360</v>
      </c>
      <c r="E18" s="5">
        <v>520</v>
      </c>
      <c r="F18" s="5">
        <f>C18-G18</f>
        <v>3870</v>
      </c>
      <c r="G18" s="5">
        <v>1880</v>
      </c>
      <c r="H18" s="5" t="s">
        <v>26</v>
      </c>
      <c r="I18" s="5">
        <v>314</v>
      </c>
      <c r="J18" s="5">
        <v>1880</v>
      </c>
      <c r="K18" s="3">
        <f t="shared" si="1"/>
        <v>0.38235294117647056</v>
      </c>
      <c r="L18" s="3">
        <f t="shared" si="2"/>
        <v>0.27659574468085107</v>
      </c>
    </row>
    <row r="19" spans="1:12" x14ac:dyDescent="0.25">
      <c r="A19" s="5">
        <v>1973</v>
      </c>
      <c r="B19" s="6" t="s">
        <v>31</v>
      </c>
      <c r="C19" s="5">
        <v>5700</v>
      </c>
      <c r="D19" s="5">
        <f>G19-E19</f>
        <v>1000</v>
      </c>
      <c r="E19" s="5">
        <v>836</v>
      </c>
      <c r="F19" s="5">
        <f>C19-D19-E19</f>
        <v>3864</v>
      </c>
      <c r="G19" s="5">
        <v>1836</v>
      </c>
      <c r="H19" s="5"/>
      <c r="I19" s="5"/>
      <c r="J19" s="5"/>
      <c r="K19" s="3">
        <f t="shared" si="1"/>
        <v>0.83599999999999997</v>
      </c>
      <c r="L19" s="3">
        <f t="shared" si="2"/>
        <v>0.45533769063180829</v>
      </c>
    </row>
    <row r="20" spans="1:12" x14ac:dyDescent="0.25">
      <c r="A20" s="8">
        <v>1976</v>
      </c>
      <c r="B20" s="9" t="s">
        <v>25</v>
      </c>
      <c r="C20" s="8">
        <v>5795</v>
      </c>
      <c r="D20" s="8">
        <f>G20-E20</f>
        <v>1365</v>
      </c>
      <c r="E20" s="8">
        <v>515</v>
      </c>
      <c r="F20" s="8">
        <f>C20-G20</f>
        <v>3915</v>
      </c>
      <c r="G20" s="8">
        <v>1880</v>
      </c>
      <c r="H20" s="8" t="s">
        <v>26</v>
      </c>
      <c r="I20" s="8">
        <v>314</v>
      </c>
      <c r="J20" s="8">
        <v>1880</v>
      </c>
      <c r="K20" s="3">
        <f t="shared" si="1"/>
        <v>0.37728937728937728</v>
      </c>
      <c r="L20" s="3">
        <f t="shared" si="2"/>
        <v>0.27393617021276595</v>
      </c>
    </row>
    <row r="21" spans="1:12" x14ac:dyDescent="0.25">
      <c r="A21" s="5">
        <v>2013</v>
      </c>
      <c r="B21" s="6" t="s">
        <v>23</v>
      </c>
      <c r="C21" s="5">
        <v>3780</v>
      </c>
      <c r="D21" s="5">
        <v>1200</v>
      </c>
      <c r="E21" s="5">
        <v>170</v>
      </c>
      <c r="F21" s="5">
        <v>2410</v>
      </c>
      <c r="G21" s="5">
        <v>1370</v>
      </c>
      <c r="H21" s="5" t="s">
        <v>7</v>
      </c>
      <c r="I21" s="5">
        <v>333</v>
      </c>
      <c r="J21" s="5">
        <v>1880</v>
      </c>
      <c r="K21" s="3">
        <f t="shared" si="1"/>
        <v>0.14166666666666666</v>
      </c>
      <c r="L21" s="3">
        <f t="shared" si="2"/>
        <v>0.12408759124087591</v>
      </c>
    </row>
    <row r="22" spans="1:12" x14ac:dyDescent="0.25">
      <c r="A22" s="8">
        <v>2019</v>
      </c>
      <c r="B22" s="9" t="s">
        <v>24</v>
      </c>
      <c r="C22" s="8">
        <v>3640</v>
      </c>
      <c r="D22" s="8">
        <v>1200</v>
      </c>
      <c r="E22" s="8">
        <v>170</v>
      </c>
      <c r="F22" s="8">
        <v>2270</v>
      </c>
      <c r="G22" s="8">
        <v>1370</v>
      </c>
      <c r="H22" s="8" t="s">
        <v>7</v>
      </c>
      <c r="I22" s="8">
        <v>333</v>
      </c>
      <c r="J22" s="8">
        <v>1880</v>
      </c>
      <c r="K22" s="3">
        <f t="shared" si="1"/>
        <v>0.14166666666666666</v>
      </c>
      <c r="L22" s="3">
        <f t="shared" si="2"/>
        <v>0.12408759124087591</v>
      </c>
    </row>
    <row r="23" spans="1:12" x14ac:dyDescent="0.25">
      <c r="A23" s="5">
        <v>2019</v>
      </c>
      <c r="B23" s="6" t="s">
        <v>8</v>
      </c>
      <c r="C23" s="5">
        <v>1471</v>
      </c>
      <c r="D23" s="5">
        <v>626</v>
      </c>
      <c r="E23" s="5">
        <v>27</v>
      </c>
      <c r="F23" s="5">
        <v>818</v>
      </c>
      <c r="G23" s="5">
        <v>653</v>
      </c>
      <c r="H23" s="5" t="s">
        <v>9</v>
      </c>
      <c r="I23" s="5">
        <v>318</v>
      </c>
      <c r="J23" s="7"/>
      <c r="K23" s="3">
        <f t="shared" si="1"/>
        <v>4.3130990415335461E-2</v>
      </c>
      <c r="L23" s="3">
        <f t="shared" si="2"/>
        <v>4.1347626339969371E-2</v>
      </c>
    </row>
    <row r="24" spans="1:12" x14ac:dyDescent="0.25">
      <c r="A24" s="8">
        <v>2019</v>
      </c>
      <c r="B24" s="9" t="s">
        <v>46</v>
      </c>
      <c r="C24" s="8">
        <v>585</v>
      </c>
      <c r="D24" s="8">
        <v>150</v>
      </c>
      <c r="E24" s="8">
        <v>0.1</v>
      </c>
      <c r="F24" s="8">
        <v>435</v>
      </c>
      <c r="G24" s="8">
        <v>150</v>
      </c>
      <c r="H24" s="8" t="s">
        <v>9</v>
      </c>
      <c r="I24" s="8">
        <v>318</v>
      </c>
      <c r="J24" s="8">
        <v>1930</v>
      </c>
      <c r="K24" s="3">
        <f t="shared" si="1"/>
        <v>6.6666666666666675E-4</v>
      </c>
      <c r="L24" s="3">
        <f t="shared" si="2"/>
        <v>6.6622251832111927E-4</v>
      </c>
    </row>
    <row r="25" spans="1:12" x14ac:dyDescent="0.25">
      <c r="A25" s="5">
        <v>2020</v>
      </c>
      <c r="B25" s="6" t="s">
        <v>30</v>
      </c>
      <c r="C25" s="5">
        <v>3800</v>
      </c>
      <c r="D25" s="5">
        <v>1200</v>
      </c>
      <c r="E25" s="5">
        <v>800</v>
      </c>
      <c r="F25" s="5">
        <v>1800</v>
      </c>
      <c r="G25" s="5">
        <v>2000</v>
      </c>
      <c r="H25" s="5" t="s">
        <v>7</v>
      </c>
      <c r="I25" s="5">
        <v>333</v>
      </c>
      <c r="J25" s="5">
        <v>1930</v>
      </c>
      <c r="K25" s="3">
        <f t="shared" si="1"/>
        <v>0.66666666666666663</v>
      </c>
      <c r="L25" s="3">
        <f t="shared" si="2"/>
        <v>0.4</v>
      </c>
    </row>
    <row r="26" spans="1:12" x14ac:dyDescent="0.25">
      <c r="A26" s="8">
        <v>2022</v>
      </c>
      <c r="B26" s="9" t="s">
        <v>47</v>
      </c>
      <c r="C26" s="8">
        <v>14.6</v>
      </c>
      <c r="D26" s="8">
        <v>0.7</v>
      </c>
      <c r="E26" s="8">
        <v>0.1</v>
      </c>
      <c r="F26" s="8">
        <v>13.9</v>
      </c>
      <c r="G26" s="8">
        <v>0.69999999999999929</v>
      </c>
      <c r="H26" s="8" t="s">
        <v>48</v>
      </c>
      <c r="I26" s="8"/>
      <c r="J26" s="8">
        <v>2500</v>
      </c>
      <c r="K26" s="3">
        <f t="shared" si="1"/>
        <v>0.14285714285714288</v>
      </c>
      <c r="L26" s="3">
        <f t="shared" si="2"/>
        <v>0.12500000000000003</v>
      </c>
    </row>
    <row r="27" spans="1:12" x14ac:dyDescent="0.25">
      <c r="A27" s="8">
        <v>2023</v>
      </c>
      <c r="B27" s="9" t="s">
        <v>6</v>
      </c>
      <c r="C27" s="8">
        <v>1750</v>
      </c>
      <c r="D27" s="8">
        <v>770</v>
      </c>
      <c r="E27" s="8">
        <v>30</v>
      </c>
      <c r="F27" s="8">
        <v>950</v>
      </c>
      <c r="G27" s="8">
        <v>800</v>
      </c>
      <c r="H27" s="8" t="s">
        <v>7</v>
      </c>
      <c r="I27" s="8">
        <v>333</v>
      </c>
      <c r="J27" s="7"/>
      <c r="K27" s="3">
        <f t="shared" si="1"/>
        <v>3.896103896103896E-2</v>
      </c>
      <c r="L27" s="3">
        <f t="shared" si="2"/>
        <v>3.7499999999999999E-2</v>
      </c>
    </row>
    <row r="28" spans="1:12" x14ac:dyDescent="0.25">
      <c r="A28" s="8">
        <v>2023</v>
      </c>
      <c r="B28" s="9" t="s">
        <v>10</v>
      </c>
      <c r="C28" s="8">
        <v>1000</v>
      </c>
      <c r="D28" s="8">
        <v>340</v>
      </c>
      <c r="E28" s="8">
        <v>30</v>
      </c>
      <c r="F28" s="8">
        <v>630</v>
      </c>
      <c r="G28" s="8">
        <v>370</v>
      </c>
      <c r="H28" s="8" t="s">
        <v>11</v>
      </c>
      <c r="I28" s="8">
        <v>333</v>
      </c>
      <c r="J28" s="7"/>
      <c r="K28" s="3">
        <f t="shared" si="1"/>
        <v>8.8235294117647065E-2</v>
      </c>
      <c r="L28" s="3">
        <f t="shared" si="2"/>
        <v>8.1081081081081086E-2</v>
      </c>
    </row>
    <row r="29" spans="1:12" x14ac:dyDescent="0.25">
      <c r="A29" s="5">
        <v>2023</v>
      </c>
      <c r="B29" s="6" t="s">
        <v>49</v>
      </c>
      <c r="C29" s="5">
        <v>1750</v>
      </c>
      <c r="D29" s="7"/>
      <c r="E29" s="5">
        <v>26</v>
      </c>
      <c r="F29" s="7"/>
      <c r="G29" s="5">
        <v>1750</v>
      </c>
      <c r="H29" s="5" t="s">
        <v>9</v>
      </c>
      <c r="I29" s="5">
        <v>318</v>
      </c>
      <c r="J29" s="7"/>
      <c r="K29" s="3"/>
    </row>
    <row r="30" spans="1:12" x14ac:dyDescent="0.25">
      <c r="A30" s="5">
        <v>2024</v>
      </c>
      <c r="B30" s="6" t="s">
        <v>51</v>
      </c>
      <c r="C30" s="5">
        <v>1908</v>
      </c>
      <c r="D30" s="8">
        <f>675-E30</f>
        <v>545</v>
      </c>
      <c r="E30" s="5">
        <v>130</v>
      </c>
      <c r="F30" s="8">
        <v>1276</v>
      </c>
      <c r="G30" s="5">
        <f>675</f>
        <v>675</v>
      </c>
      <c r="H30" s="5" t="s">
        <v>52</v>
      </c>
      <c r="I30" s="5">
        <v>360</v>
      </c>
      <c r="J30" s="10"/>
      <c r="K30" s="3"/>
    </row>
    <row r="31" spans="1:12" x14ac:dyDescent="0.25">
      <c r="A31" s="8">
        <v>2024</v>
      </c>
      <c r="B31" s="9" t="s">
        <v>50</v>
      </c>
      <c r="C31" s="8">
        <v>1283</v>
      </c>
      <c r="D31" s="7"/>
      <c r="E31" s="8">
        <v>90</v>
      </c>
      <c r="F31" s="7"/>
      <c r="G31" s="8">
        <v>1283</v>
      </c>
      <c r="H31" s="8" t="s">
        <v>9</v>
      </c>
      <c r="I31" s="8">
        <v>318</v>
      </c>
      <c r="J31" s="7"/>
      <c r="K31" s="3"/>
    </row>
    <row r="32" spans="1:12" x14ac:dyDescent="0.25">
      <c r="A32" s="5">
        <v>2024</v>
      </c>
      <c r="B32" s="6" t="s">
        <v>12</v>
      </c>
      <c r="C32" s="5">
        <v>710</v>
      </c>
      <c r="D32" s="5">
        <v>190</v>
      </c>
      <c r="E32" s="5">
        <v>20</v>
      </c>
      <c r="F32" s="5">
        <v>500</v>
      </c>
      <c r="G32" s="5">
        <v>210</v>
      </c>
      <c r="H32" s="5" t="s">
        <v>13</v>
      </c>
      <c r="I32" s="5">
        <v>328</v>
      </c>
      <c r="J32" s="5">
        <v>2774</v>
      </c>
      <c r="K32" s="3">
        <f>E32/D32</f>
        <v>0.10526315789473684</v>
      </c>
      <c r="L32" s="3">
        <f>E32/(D32+E32)</f>
        <v>9.5238095238095233E-2</v>
      </c>
    </row>
  </sheetData>
  <conditionalFormatting sqref="K2:K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D447-256B-4552-8531-20A905B8B356}">
  <dimension ref="A1:L23"/>
  <sheetViews>
    <sheetView zoomScale="70" workbookViewId="0">
      <selection activeCell="N20" sqref="N20"/>
    </sheetView>
  </sheetViews>
  <sheetFormatPr baseColWidth="10" defaultColWidth="10.7109375" defaultRowHeight="15" x14ac:dyDescent="0.25"/>
  <cols>
    <col min="2" max="2" width="13.140625" bestFit="1" customWidth="1"/>
  </cols>
  <sheetData>
    <row r="1" spans="1:12" x14ac:dyDescent="0.2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2" x14ac:dyDescent="0.25">
      <c r="A2" s="5">
        <v>1966</v>
      </c>
      <c r="B2" s="6" t="s">
        <v>22</v>
      </c>
      <c r="C2" s="5">
        <v>1620</v>
      </c>
      <c r="D2" s="13">
        <v>800</v>
      </c>
      <c r="E2" s="5">
        <v>112</v>
      </c>
      <c r="F2" s="5">
        <f t="shared" ref="F2:F9" si="0">C2-D2-E2</f>
        <v>708</v>
      </c>
      <c r="G2" s="5">
        <f>C2-F2</f>
        <v>912</v>
      </c>
      <c r="H2" s="5" t="s">
        <v>15</v>
      </c>
      <c r="I2" s="5">
        <v>287</v>
      </c>
      <c r="J2" s="5">
        <v>1880</v>
      </c>
      <c r="K2" s="3">
        <f t="shared" ref="K2:K22" si="1">E2/D2</f>
        <v>0.14000000000000001</v>
      </c>
      <c r="L2" s="3">
        <f t="shared" ref="L2:L22" si="2">E2/(D2+E2)</f>
        <v>0.12280701754385964</v>
      </c>
    </row>
    <row r="3" spans="1:12" x14ac:dyDescent="0.25">
      <c r="A3" s="8">
        <v>1966</v>
      </c>
      <c r="B3" s="9" t="s">
        <v>14</v>
      </c>
      <c r="C3" s="8">
        <v>1538</v>
      </c>
      <c r="D3" s="4">
        <v>847</v>
      </c>
      <c r="E3" s="8">
        <v>99.8</v>
      </c>
      <c r="F3" s="8">
        <f t="shared" si="0"/>
        <v>591.20000000000005</v>
      </c>
      <c r="G3" s="8">
        <f>C3-F3</f>
        <v>946.8</v>
      </c>
      <c r="H3" s="8" t="s">
        <v>15</v>
      </c>
      <c r="I3" s="8">
        <v>287</v>
      </c>
      <c r="J3" s="8">
        <v>2630</v>
      </c>
      <c r="K3" s="3">
        <f t="shared" si="1"/>
        <v>0.117827626918536</v>
      </c>
      <c r="L3" s="3">
        <f t="shared" si="2"/>
        <v>0.10540768905787917</v>
      </c>
    </row>
    <row r="4" spans="1:12" x14ac:dyDescent="0.25">
      <c r="A4" s="8">
        <v>1966</v>
      </c>
      <c r="B4" s="9" t="s">
        <v>21</v>
      </c>
      <c r="C4" s="8">
        <v>995.2</v>
      </c>
      <c r="D4" s="4">
        <v>262</v>
      </c>
      <c r="E4" s="8">
        <v>33</v>
      </c>
      <c r="F4" s="8">
        <f t="shared" si="0"/>
        <v>700.2</v>
      </c>
      <c r="G4" s="8">
        <v>295</v>
      </c>
      <c r="H4" s="8" t="s">
        <v>17</v>
      </c>
      <c r="I4" s="8">
        <v>230</v>
      </c>
      <c r="J4" s="8">
        <v>2612</v>
      </c>
      <c r="K4" s="3">
        <f t="shared" si="1"/>
        <v>0.12595419847328243</v>
      </c>
      <c r="L4" s="3">
        <f t="shared" si="2"/>
        <v>0.11186440677966102</v>
      </c>
    </row>
    <row r="5" spans="1:12" x14ac:dyDescent="0.25">
      <c r="A5" s="8">
        <v>1967</v>
      </c>
      <c r="B5" s="9" t="s">
        <v>18</v>
      </c>
      <c r="C5" s="8">
        <v>1006</v>
      </c>
      <c r="D5" s="8">
        <v>271</v>
      </c>
      <c r="E5" s="8">
        <v>33</v>
      </c>
      <c r="F5" s="8">
        <f t="shared" si="0"/>
        <v>702</v>
      </c>
      <c r="G5" s="8">
        <v>304</v>
      </c>
      <c r="H5" s="8" t="s">
        <v>17</v>
      </c>
      <c r="I5" s="8">
        <v>230</v>
      </c>
      <c r="J5" s="8">
        <v>2612</v>
      </c>
      <c r="K5" s="3">
        <f t="shared" si="1"/>
        <v>0.12177121771217712</v>
      </c>
      <c r="L5" s="3">
        <f t="shared" si="2"/>
        <v>0.10855263157894737</v>
      </c>
    </row>
    <row r="6" spans="1:12" x14ac:dyDescent="0.25">
      <c r="A6" s="5">
        <v>1967</v>
      </c>
      <c r="B6" s="6" t="s">
        <v>19</v>
      </c>
      <c r="C6" s="5">
        <v>1026</v>
      </c>
      <c r="D6" s="5">
        <v>267</v>
      </c>
      <c r="E6" s="5">
        <v>33</v>
      </c>
      <c r="F6" s="5">
        <f t="shared" si="0"/>
        <v>726</v>
      </c>
      <c r="G6" s="5">
        <v>300</v>
      </c>
      <c r="H6" s="5" t="s">
        <v>17</v>
      </c>
      <c r="I6" s="5">
        <v>230</v>
      </c>
      <c r="J6" s="8">
        <v>2612</v>
      </c>
      <c r="K6" s="3">
        <f t="shared" si="1"/>
        <v>0.12359550561797752</v>
      </c>
      <c r="L6" s="3">
        <f t="shared" si="2"/>
        <v>0.11</v>
      </c>
    </row>
    <row r="7" spans="1:12" x14ac:dyDescent="0.25">
      <c r="A7" s="5">
        <v>1967</v>
      </c>
      <c r="B7" s="6" t="s">
        <v>20</v>
      </c>
      <c r="C7" s="5">
        <v>1026</v>
      </c>
      <c r="D7" s="5">
        <v>266</v>
      </c>
      <c r="E7" s="5">
        <v>33</v>
      </c>
      <c r="F7" s="5">
        <f t="shared" si="0"/>
        <v>727</v>
      </c>
      <c r="G7" s="5">
        <v>299</v>
      </c>
      <c r="H7" s="5" t="s">
        <v>17</v>
      </c>
      <c r="I7" s="5">
        <v>230</v>
      </c>
      <c r="J7" s="8">
        <v>2612</v>
      </c>
      <c r="K7" s="3">
        <f t="shared" si="1"/>
        <v>0.12406015037593984</v>
      </c>
      <c r="L7" s="3">
        <f t="shared" si="2"/>
        <v>0.11036789297658862</v>
      </c>
    </row>
    <row r="8" spans="1:12" x14ac:dyDescent="0.25">
      <c r="A8" s="8">
        <v>1968</v>
      </c>
      <c r="B8" s="9" t="s">
        <v>16</v>
      </c>
      <c r="C8" s="8">
        <v>1039</v>
      </c>
      <c r="D8" s="8">
        <v>273</v>
      </c>
      <c r="E8" s="8">
        <v>33</v>
      </c>
      <c r="F8" s="8">
        <f t="shared" si="0"/>
        <v>733</v>
      </c>
      <c r="G8" s="8">
        <v>306</v>
      </c>
      <c r="H8" s="8" t="s">
        <v>17</v>
      </c>
      <c r="I8" s="8">
        <v>230</v>
      </c>
      <c r="J8" s="8">
        <v>2612</v>
      </c>
      <c r="K8" s="3">
        <f t="shared" si="1"/>
        <v>0.12087912087912088</v>
      </c>
      <c r="L8" s="3">
        <f t="shared" si="2"/>
        <v>0.10784313725490197</v>
      </c>
    </row>
    <row r="9" spans="1:12" x14ac:dyDescent="0.25">
      <c r="A9" s="5">
        <v>1970</v>
      </c>
      <c r="B9" s="6" t="s">
        <v>29</v>
      </c>
      <c r="C9" s="5">
        <v>5660</v>
      </c>
      <c r="D9" s="5">
        <f>G9-E9</f>
        <v>1144</v>
      </c>
      <c r="E9" s="5">
        <v>756</v>
      </c>
      <c r="F9" s="5">
        <f t="shared" si="0"/>
        <v>3760</v>
      </c>
      <c r="G9" s="5">
        <v>1900</v>
      </c>
      <c r="H9" s="5" t="s">
        <v>26</v>
      </c>
      <c r="I9" s="5">
        <v>314</v>
      </c>
      <c r="J9" s="5">
        <v>1880</v>
      </c>
      <c r="K9" s="3">
        <f t="shared" si="1"/>
        <v>0.66083916083916083</v>
      </c>
      <c r="L9" s="3">
        <f t="shared" si="2"/>
        <v>0.39789473684210525</v>
      </c>
    </row>
    <row r="10" spans="1:12" x14ac:dyDescent="0.25">
      <c r="A10" s="8">
        <v>1970</v>
      </c>
      <c r="B10" s="9" t="s">
        <v>27</v>
      </c>
      <c r="C10" s="8">
        <v>5727</v>
      </c>
      <c r="D10" s="8">
        <f>G10-E10</f>
        <v>1360</v>
      </c>
      <c r="E10" s="8">
        <v>520</v>
      </c>
      <c r="F10" s="8">
        <f>C10-G10</f>
        <v>3847</v>
      </c>
      <c r="G10" s="8">
        <v>1880</v>
      </c>
      <c r="H10" s="8" t="s">
        <v>26</v>
      </c>
      <c r="I10" s="8">
        <v>314</v>
      </c>
      <c r="J10" s="8">
        <v>1880</v>
      </c>
      <c r="K10" s="3">
        <f t="shared" si="1"/>
        <v>0.38235294117647056</v>
      </c>
      <c r="L10" s="3">
        <f t="shared" si="2"/>
        <v>0.27659574468085107</v>
      </c>
    </row>
    <row r="11" spans="1:12" x14ac:dyDescent="0.25">
      <c r="A11" s="5">
        <v>1972</v>
      </c>
      <c r="B11" s="6" t="s">
        <v>28</v>
      </c>
      <c r="C11" s="5">
        <v>5750</v>
      </c>
      <c r="D11" s="5">
        <f>G11-E11</f>
        <v>1360</v>
      </c>
      <c r="E11" s="5">
        <v>520</v>
      </c>
      <c r="F11" s="5">
        <f>C11-G11</f>
        <v>3870</v>
      </c>
      <c r="G11" s="5">
        <v>1880</v>
      </c>
      <c r="H11" s="5" t="s">
        <v>26</v>
      </c>
      <c r="I11" s="5">
        <v>314</v>
      </c>
      <c r="J11" s="5">
        <v>1880</v>
      </c>
      <c r="K11" s="3">
        <f t="shared" si="1"/>
        <v>0.38235294117647056</v>
      </c>
      <c r="L11" s="3">
        <f t="shared" si="2"/>
        <v>0.27659574468085107</v>
      </c>
    </row>
    <row r="12" spans="1:12" x14ac:dyDescent="0.25">
      <c r="A12" s="5">
        <v>1973</v>
      </c>
      <c r="B12" s="6" t="s">
        <v>31</v>
      </c>
      <c r="C12" s="5">
        <v>5700</v>
      </c>
      <c r="D12" s="5">
        <f>G12-E12</f>
        <v>1000</v>
      </c>
      <c r="E12" s="5">
        <v>836</v>
      </c>
      <c r="F12" s="5">
        <f>C12-D12-E12</f>
        <v>3864</v>
      </c>
      <c r="G12" s="5">
        <v>1836</v>
      </c>
      <c r="H12" s="5" t="s">
        <v>26</v>
      </c>
      <c r="I12" s="5">
        <v>314</v>
      </c>
      <c r="J12" s="5">
        <v>1880</v>
      </c>
      <c r="K12" s="3">
        <f t="shared" si="1"/>
        <v>0.83599999999999997</v>
      </c>
      <c r="L12" s="3">
        <f t="shared" si="2"/>
        <v>0.45533769063180829</v>
      </c>
    </row>
    <row r="13" spans="1:12" x14ac:dyDescent="0.25">
      <c r="A13" s="8">
        <v>1976</v>
      </c>
      <c r="B13" s="9" t="s">
        <v>25</v>
      </c>
      <c r="C13" s="8">
        <v>5795</v>
      </c>
      <c r="D13" s="8">
        <f>G13-E13</f>
        <v>1365</v>
      </c>
      <c r="E13" s="8">
        <v>515</v>
      </c>
      <c r="F13" s="8">
        <f>C13-G13</f>
        <v>3915</v>
      </c>
      <c r="G13" s="8">
        <v>1880</v>
      </c>
      <c r="H13" s="8" t="s">
        <v>26</v>
      </c>
      <c r="I13" s="8">
        <v>314</v>
      </c>
      <c r="J13" s="8">
        <v>1880</v>
      </c>
      <c r="K13" s="3">
        <f t="shared" si="1"/>
        <v>0.37728937728937728</v>
      </c>
      <c r="L13" s="3">
        <f t="shared" si="2"/>
        <v>0.27393617021276595</v>
      </c>
    </row>
    <row r="14" spans="1:12" x14ac:dyDescent="0.25">
      <c r="A14" s="5">
        <v>2013</v>
      </c>
      <c r="B14" s="6" t="s">
        <v>23</v>
      </c>
      <c r="C14" s="5">
        <v>3780</v>
      </c>
      <c r="D14" s="5">
        <v>1200</v>
      </c>
      <c r="E14" s="5">
        <v>170</v>
      </c>
      <c r="F14" s="5">
        <v>2410</v>
      </c>
      <c r="G14" s="5">
        <v>1370</v>
      </c>
      <c r="H14" s="5" t="s">
        <v>7</v>
      </c>
      <c r="I14" s="5">
        <v>333</v>
      </c>
      <c r="J14" s="5">
        <v>1880</v>
      </c>
      <c r="K14" s="3">
        <f t="shared" si="1"/>
        <v>0.14166666666666666</v>
      </c>
      <c r="L14" s="3">
        <f t="shared" si="2"/>
        <v>0.12408759124087591</v>
      </c>
    </row>
    <row r="15" spans="1:12" x14ac:dyDescent="0.25">
      <c r="A15" s="8">
        <v>2019</v>
      </c>
      <c r="B15" s="9" t="s">
        <v>24</v>
      </c>
      <c r="C15" s="8">
        <v>3640</v>
      </c>
      <c r="D15" s="8">
        <v>1200</v>
      </c>
      <c r="E15" s="8">
        <v>170</v>
      </c>
      <c r="F15" s="8">
        <v>2270</v>
      </c>
      <c r="G15" s="8">
        <v>1370</v>
      </c>
      <c r="H15" s="8" t="s">
        <v>7</v>
      </c>
      <c r="I15" s="8">
        <v>333</v>
      </c>
      <c r="J15" s="8">
        <v>1880</v>
      </c>
      <c r="K15" s="3">
        <f t="shared" si="1"/>
        <v>0.14166666666666666</v>
      </c>
      <c r="L15" s="3">
        <f t="shared" si="2"/>
        <v>0.12408759124087591</v>
      </c>
    </row>
    <row r="16" spans="1:12" x14ac:dyDescent="0.25">
      <c r="A16" s="5">
        <v>2019</v>
      </c>
      <c r="B16" s="6" t="s">
        <v>8</v>
      </c>
      <c r="C16" s="5">
        <v>1471</v>
      </c>
      <c r="D16" s="5">
        <v>626</v>
      </c>
      <c r="E16" s="5">
        <v>27</v>
      </c>
      <c r="F16" s="5">
        <v>818</v>
      </c>
      <c r="G16" s="5">
        <v>653</v>
      </c>
      <c r="H16" s="5" t="s">
        <v>9</v>
      </c>
      <c r="I16" s="5">
        <v>318</v>
      </c>
      <c r="J16" s="7"/>
      <c r="K16" s="3">
        <f t="shared" si="1"/>
        <v>4.3130990415335461E-2</v>
      </c>
      <c r="L16" s="3">
        <f t="shared" si="2"/>
        <v>4.1347626339969371E-2</v>
      </c>
    </row>
    <row r="17" spans="1:12" x14ac:dyDescent="0.25">
      <c r="A17" s="8">
        <v>2019</v>
      </c>
      <c r="B17" s="9" t="s">
        <v>46</v>
      </c>
      <c r="C17" s="8">
        <v>585</v>
      </c>
      <c r="D17" s="8">
        <v>150</v>
      </c>
      <c r="E17" s="8">
        <v>0.1</v>
      </c>
      <c r="F17" s="8">
        <v>435</v>
      </c>
      <c r="G17" s="8">
        <v>150</v>
      </c>
      <c r="H17" s="8" t="s">
        <v>9</v>
      </c>
      <c r="I17" s="8">
        <v>318</v>
      </c>
      <c r="J17" s="8">
        <v>1930</v>
      </c>
      <c r="K17" s="3">
        <f t="shared" si="1"/>
        <v>6.6666666666666675E-4</v>
      </c>
      <c r="L17" s="3">
        <f t="shared" si="2"/>
        <v>6.6622251832111927E-4</v>
      </c>
    </row>
    <row r="18" spans="1:12" x14ac:dyDescent="0.25">
      <c r="A18" s="5">
        <v>2020</v>
      </c>
      <c r="B18" s="6" t="s">
        <v>30</v>
      </c>
      <c r="C18" s="5">
        <v>3800</v>
      </c>
      <c r="D18" s="5">
        <v>1200</v>
      </c>
      <c r="E18" s="5">
        <v>800</v>
      </c>
      <c r="F18" s="5">
        <v>1800</v>
      </c>
      <c r="G18" s="5">
        <v>2000</v>
      </c>
      <c r="H18" s="5" t="s">
        <v>7</v>
      </c>
      <c r="I18" s="5">
        <v>333</v>
      </c>
      <c r="J18" s="5">
        <v>1930</v>
      </c>
      <c r="K18" s="3">
        <f t="shared" si="1"/>
        <v>0.66666666666666663</v>
      </c>
      <c r="L18" s="3">
        <f t="shared" si="2"/>
        <v>0.4</v>
      </c>
    </row>
    <row r="19" spans="1:12" x14ac:dyDescent="0.25">
      <c r="A19" s="8">
        <v>2022</v>
      </c>
      <c r="B19" s="9" t="s">
        <v>47</v>
      </c>
      <c r="C19" s="8">
        <v>14.6</v>
      </c>
      <c r="D19" s="8">
        <v>0.7</v>
      </c>
      <c r="E19" s="8">
        <v>0.1</v>
      </c>
      <c r="F19" s="8">
        <v>13.9</v>
      </c>
      <c r="G19" s="8">
        <v>0.69999999999999929</v>
      </c>
      <c r="H19" s="8" t="s">
        <v>48</v>
      </c>
      <c r="I19" s="8"/>
      <c r="J19" s="8">
        <v>2500</v>
      </c>
      <c r="K19" s="3">
        <f t="shared" si="1"/>
        <v>0.14285714285714288</v>
      </c>
      <c r="L19" s="3">
        <f t="shared" si="2"/>
        <v>0.12500000000000003</v>
      </c>
    </row>
    <row r="20" spans="1:12" x14ac:dyDescent="0.25">
      <c r="A20" s="8">
        <v>2023</v>
      </c>
      <c r="B20" s="9" t="s">
        <v>6</v>
      </c>
      <c r="C20" s="8">
        <v>1750</v>
      </c>
      <c r="D20" s="8">
        <v>770</v>
      </c>
      <c r="E20" s="8">
        <v>30</v>
      </c>
      <c r="F20" s="8">
        <v>950</v>
      </c>
      <c r="G20" s="8">
        <v>800</v>
      </c>
      <c r="H20" s="8" t="s">
        <v>7</v>
      </c>
      <c r="I20" s="8">
        <v>333</v>
      </c>
      <c r="J20" s="7"/>
      <c r="K20" s="3">
        <f t="shared" si="1"/>
        <v>3.896103896103896E-2</v>
      </c>
      <c r="L20" s="3">
        <f t="shared" si="2"/>
        <v>3.7499999999999999E-2</v>
      </c>
    </row>
    <row r="21" spans="1:12" x14ac:dyDescent="0.25">
      <c r="A21" s="8">
        <v>2023</v>
      </c>
      <c r="B21" s="9" t="s">
        <v>10</v>
      </c>
      <c r="C21" s="8">
        <v>1000</v>
      </c>
      <c r="D21" s="8">
        <v>340</v>
      </c>
      <c r="E21" s="8">
        <v>30</v>
      </c>
      <c r="F21" s="8">
        <v>630</v>
      </c>
      <c r="G21" s="8">
        <v>370</v>
      </c>
      <c r="H21" s="8" t="s">
        <v>11</v>
      </c>
      <c r="I21" s="8">
        <v>333</v>
      </c>
      <c r="J21" s="7"/>
      <c r="K21" s="3">
        <f t="shared" si="1"/>
        <v>8.8235294117647065E-2</v>
      </c>
      <c r="L21" s="3">
        <f t="shared" si="2"/>
        <v>8.1081081081081086E-2</v>
      </c>
    </row>
    <row r="22" spans="1:12" x14ac:dyDescent="0.25">
      <c r="A22" s="5">
        <v>2024</v>
      </c>
      <c r="B22" s="6" t="s">
        <v>12</v>
      </c>
      <c r="C22" s="5">
        <v>710</v>
      </c>
      <c r="D22" s="5">
        <v>190</v>
      </c>
      <c r="E22" s="5">
        <v>20</v>
      </c>
      <c r="F22" s="5">
        <v>500</v>
      </c>
      <c r="G22" s="5">
        <v>210</v>
      </c>
      <c r="H22" s="5" t="s">
        <v>13</v>
      </c>
      <c r="I22" s="5">
        <v>328</v>
      </c>
      <c r="J22" s="5">
        <v>2774</v>
      </c>
      <c r="K22" s="3">
        <f t="shared" si="1"/>
        <v>0.10526315789473684</v>
      </c>
      <c r="L22" s="3">
        <f t="shared" si="2"/>
        <v>9.5238095238095233E-2</v>
      </c>
    </row>
    <row r="23" spans="1:12" x14ac:dyDescent="0.25">
      <c r="A23" s="5">
        <v>2024</v>
      </c>
      <c r="B23" s="6" t="s">
        <v>51</v>
      </c>
      <c r="C23" s="5">
        <v>1908</v>
      </c>
      <c r="D23" s="7">
        <f>675-E23</f>
        <v>545</v>
      </c>
      <c r="E23" s="5">
        <v>130</v>
      </c>
      <c r="F23" s="7">
        <v>1276</v>
      </c>
      <c r="G23" s="5">
        <f>675</f>
        <v>675</v>
      </c>
      <c r="H23" s="5" t="s">
        <v>52</v>
      </c>
      <c r="I23" s="5">
        <v>320</v>
      </c>
      <c r="J23" s="10"/>
      <c r="K23" s="3"/>
    </row>
  </sheetData>
  <sortState xmlns:xlrd2="http://schemas.microsoft.com/office/spreadsheetml/2017/richdata2" ref="A2:L22">
    <sortCondition ref="A2:A22"/>
  </sortState>
  <conditionalFormatting sqref="K2:K2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max"/>
        <color rgb="FFFCFCFF"/>
        <color rgb="FF63BE7B"/>
      </colorScale>
    </cfRule>
  </conditionalFormatting>
  <conditionalFormatting sqref="K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8D6A-64F0-4E55-9F6A-12E6ECCA0346}">
  <dimension ref="A1"/>
  <sheetViews>
    <sheetView workbookViewId="0">
      <selection activeCell="F30" sqref="F30"/>
    </sheetView>
  </sheetViews>
  <sheetFormatPr baseColWidth="10" defaultColWidth="10.710937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1A04-FF2A-413A-B709-071725466C45}">
  <dimension ref="A1:L16"/>
  <sheetViews>
    <sheetView workbookViewId="0">
      <selection sqref="A1:L16"/>
    </sheetView>
  </sheetViews>
  <sheetFormatPr baseColWidth="10" defaultColWidth="10.7109375" defaultRowHeight="15" x14ac:dyDescent="0.25"/>
  <sheetData>
    <row r="1" spans="1:12" x14ac:dyDescent="0.2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2" x14ac:dyDescent="0.25">
      <c r="A2" s="5">
        <v>1966</v>
      </c>
      <c r="B2" s="6" t="s">
        <v>22</v>
      </c>
      <c r="C2" s="5">
        <v>1620</v>
      </c>
      <c r="D2" s="13">
        <v>800</v>
      </c>
      <c r="E2" s="5">
        <v>112</v>
      </c>
      <c r="F2" s="5">
        <f>C2-D2-E2</f>
        <v>708</v>
      </c>
      <c r="G2" s="5">
        <f>C2-F2</f>
        <v>912</v>
      </c>
      <c r="H2" s="5" t="s">
        <v>15</v>
      </c>
      <c r="I2" s="5">
        <v>287</v>
      </c>
      <c r="J2" s="5">
        <v>1880</v>
      </c>
      <c r="K2" s="3">
        <f t="shared" ref="K2:K15" si="0">E2/D2</f>
        <v>0.14000000000000001</v>
      </c>
      <c r="L2" s="3">
        <f t="shared" ref="L2:L15" si="1">E2/(D2+E2)</f>
        <v>0.12280701754385964</v>
      </c>
    </row>
    <row r="3" spans="1:12" x14ac:dyDescent="0.25">
      <c r="A3" s="8">
        <v>1966</v>
      </c>
      <c r="B3" s="9" t="s">
        <v>14</v>
      </c>
      <c r="C3" s="8">
        <v>1538</v>
      </c>
      <c r="D3" s="4">
        <v>847</v>
      </c>
      <c r="E3" s="8">
        <v>99.8</v>
      </c>
      <c r="F3" s="8">
        <f>C3-D3-E3</f>
        <v>591.20000000000005</v>
      </c>
      <c r="G3" s="8">
        <f>C3-F3</f>
        <v>946.8</v>
      </c>
      <c r="H3" s="8" t="s">
        <v>15</v>
      </c>
      <c r="I3" s="8">
        <v>287</v>
      </c>
      <c r="J3" s="8">
        <v>2630</v>
      </c>
      <c r="K3" s="3">
        <f t="shared" si="0"/>
        <v>0.117827626918536</v>
      </c>
      <c r="L3" s="3">
        <f t="shared" si="1"/>
        <v>0.10540768905787917</v>
      </c>
    </row>
    <row r="4" spans="1:12" x14ac:dyDescent="0.25">
      <c r="A4" s="8">
        <v>1966</v>
      </c>
      <c r="B4" s="9" t="s">
        <v>21</v>
      </c>
      <c r="C4" s="8">
        <v>995.2</v>
      </c>
      <c r="D4" s="4">
        <v>262</v>
      </c>
      <c r="E4" s="8">
        <v>33</v>
      </c>
      <c r="F4" s="8">
        <f>C4-D4-E4</f>
        <v>700.2</v>
      </c>
      <c r="G4" s="8">
        <v>295</v>
      </c>
      <c r="H4" s="8" t="s">
        <v>17</v>
      </c>
      <c r="I4" s="8">
        <v>230</v>
      </c>
      <c r="J4" s="8">
        <v>2612</v>
      </c>
      <c r="K4" s="3">
        <f t="shared" si="0"/>
        <v>0.12595419847328243</v>
      </c>
      <c r="L4" s="3">
        <f t="shared" si="1"/>
        <v>0.11186440677966102</v>
      </c>
    </row>
    <row r="5" spans="1:12" x14ac:dyDescent="0.25">
      <c r="A5" s="5">
        <v>1970</v>
      </c>
      <c r="B5" s="6" t="s">
        <v>29</v>
      </c>
      <c r="C5" s="5">
        <v>5660</v>
      </c>
      <c r="D5" s="5">
        <f>G5-E5</f>
        <v>1144</v>
      </c>
      <c r="E5" s="5">
        <v>756</v>
      </c>
      <c r="F5" s="5">
        <f>C5-D5-E5</f>
        <v>3760</v>
      </c>
      <c r="G5" s="5">
        <v>1900</v>
      </c>
      <c r="H5" s="5" t="s">
        <v>26</v>
      </c>
      <c r="I5" s="5">
        <v>314</v>
      </c>
      <c r="J5" s="5">
        <v>1880</v>
      </c>
      <c r="K5" s="3">
        <f t="shared" si="0"/>
        <v>0.66083916083916083</v>
      </c>
      <c r="L5" s="3">
        <f t="shared" si="1"/>
        <v>0.39789473684210525</v>
      </c>
    </row>
    <row r="6" spans="1:12" x14ac:dyDescent="0.25">
      <c r="A6" s="8">
        <v>1970</v>
      </c>
      <c r="B6" s="9" t="s">
        <v>27</v>
      </c>
      <c r="C6" s="8">
        <v>5727</v>
      </c>
      <c r="D6" s="8">
        <f>G6-E6</f>
        <v>1360</v>
      </c>
      <c r="E6" s="8">
        <v>520</v>
      </c>
      <c r="F6" s="8">
        <f>C6-G6</f>
        <v>3847</v>
      </c>
      <c r="G6" s="8">
        <v>1880</v>
      </c>
      <c r="H6" s="8" t="s">
        <v>26</v>
      </c>
      <c r="I6" s="8">
        <v>314</v>
      </c>
      <c r="J6" s="8">
        <v>1880</v>
      </c>
      <c r="K6" s="3">
        <f t="shared" si="0"/>
        <v>0.38235294117647056</v>
      </c>
      <c r="L6" s="3">
        <f t="shared" si="1"/>
        <v>0.27659574468085107</v>
      </c>
    </row>
    <row r="7" spans="1:12" x14ac:dyDescent="0.25">
      <c r="A7" s="5">
        <v>1973</v>
      </c>
      <c r="B7" s="6" t="s">
        <v>31</v>
      </c>
      <c r="C7" s="5">
        <v>5700</v>
      </c>
      <c r="D7" s="5">
        <f>G7-E7</f>
        <v>1000</v>
      </c>
      <c r="E7" s="5">
        <v>836</v>
      </c>
      <c r="F7" s="5">
        <f>C7-D7-E7</f>
        <v>3864</v>
      </c>
      <c r="G7" s="5">
        <v>1836</v>
      </c>
      <c r="H7" s="5" t="s">
        <v>26</v>
      </c>
      <c r="I7" s="5">
        <v>314</v>
      </c>
      <c r="J7" s="5">
        <v>1880</v>
      </c>
      <c r="K7" s="3">
        <f t="shared" si="0"/>
        <v>0.83599999999999997</v>
      </c>
      <c r="L7" s="3">
        <f t="shared" si="1"/>
        <v>0.45533769063180829</v>
      </c>
    </row>
    <row r="8" spans="1:12" x14ac:dyDescent="0.25">
      <c r="A8" s="8">
        <v>1976</v>
      </c>
      <c r="B8" s="9" t="s">
        <v>25</v>
      </c>
      <c r="C8" s="8">
        <v>5795</v>
      </c>
      <c r="D8" s="8">
        <f>G8-E8</f>
        <v>1365</v>
      </c>
      <c r="E8" s="8">
        <v>515</v>
      </c>
      <c r="F8" s="8">
        <f>C8-G8</f>
        <v>3915</v>
      </c>
      <c r="G8" s="8">
        <v>1880</v>
      </c>
      <c r="H8" s="8" t="s">
        <v>26</v>
      </c>
      <c r="I8" s="8">
        <v>314</v>
      </c>
      <c r="J8" s="8">
        <v>1880</v>
      </c>
      <c r="K8" s="3">
        <f t="shared" si="0"/>
        <v>0.37728937728937728</v>
      </c>
      <c r="L8" s="3">
        <f t="shared" si="1"/>
        <v>0.27393617021276595</v>
      </c>
    </row>
    <row r="9" spans="1:12" x14ac:dyDescent="0.25">
      <c r="A9" s="5">
        <v>2019</v>
      </c>
      <c r="B9" s="6" t="s">
        <v>8</v>
      </c>
      <c r="C9" s="5">
        <v>1471</v>
      </c>
      <c r="D9" s="5">
        <v>626</v>
      </c>
      <c r="E9" s="5">
        <v>27</v>
      </c>
      <c r="F9" s="5">
        <v>818</v>
      </c>
      <c r="G9" s="5">
        <v>653</v>
      </c>
      <c r="H9" s="5" t="s">
        <v>9</v>
      </c>
      <c r="I9" s="5">
        <v>318</v>
      </c>
      <c r="J9" s="7"/>
      <c r="K9" s="3">
        <f t="shared" si="0"/>
        <v>4.3130990415335461E-2</v>
      </c>
      <c r="L9" s="3">
        <f t="shared" si="1"/>
        <v>4.1347626339969371E-2</v>
      </c>
    </row>
    <row r="10" spans="1:12" x14ac:dyDescent="0.25">
      <c r="A10" s="8">
        <v>2019</v>
      </c>
      <c r="B10" s="9" t="s">
        <v>46</v>
      </c>
      <c r="C10" s="8">
        <v>585</v>
      </c>
      <c r="D10" s="8">
        <v>150</v>
      </c>
      <c r="E10" s="8">
        <v>0.1</v>
      </c>
      <c r="F10" s="8">
        <v>435</v>
      </c>
      <c r="G10" s="8">
        <v>150</v>
      </c>
      <c r="H10" s="8" t="s">
        <v>9</v>
      </c>
      <c r="I10" s="8">
        <v>318</v>
      </c>
      <c r="J10" s="8">
        <v>1930</v>
      </c>
      <c r="K10" s="3">
        <f t="shared" si="0"/>
        <v>6.6666666666666675E-4</v>
      </c>
      <c r="L10" s="3">
        <f t="shared" si="1"/>
        <v>6.6622251832111927E-4</v>
      </c>
    </row>
    <row r="11" spans="1:12" x14ac:dyDescent="0.25">
      <c r="A11" s="5">
        <v>2020</v>
      </c>
      <c r="B11" s="6" t="s">
        <v>30</v>
      </c>
      <c r="C11" s="5">
        <v>3800</v>
      </c>
      <c r="D11" s="5">
        <v>1200</v>
      </c>
      <c r="E11" s="5">
        <v>800</v>
      </c>
      <c r="F11" s="5">
        <v>1800</v>
      </c>
      <c r="G11" s="5">
        <v>2000</v>
      </c>
      <c r="H11" s="5" t="s">
        <v>7</v>
      </c>
      <c r="I11" s="5">
        <v>333</v>
      </c>
      <c r="J11" s="5">
        <v>1930</v>
      </c>
      <c r="K11" s="3">
        <f t="shared" si="0"/>
        <v>0.66666666666666663</v>
      </c>
      <c r="L11" s="3">
        <f t="shared" si="1"/>
        <v>0.4</v>
      </c>
    </row>
    <row r="12" spans="1:12" x14ac:dyDescent="0.25">
      <c r="A12" s="8">
        <v>2022</v>
      </c>
      <c r="B12" s="9" t="s">
        <v>47</v>
      </c>
      <c r="C12" s="8">
        <v>14.6</v>
      </c>
      <c r="D12" s="8">
        <v>0.7</v>
      </c>
      <c r="E12" s="8">
        <v>0.1</v>
      </c>
      <c r="F12" s="8">
        <v>13.9</v>
      </c>
      <c r="G12" s="8">
        <v>0.69999999999999929</v>
      </c>
      <c r="H12" s="8" t="s">
        <v>48</v>
      </c>
      <c r="I12" s="8"/>
      <c r="J12" s="8">
        <v>2500</v>
      </c>
      <c r="K12" s="3">
        <f t="shared" si="0"/>
        <v>0.14285714285714288</v>
      </c>
      <c r="L12" s="3">
        <f t="shared" si="1"/>
        <v>0.12500000000000003</v>
      </c>
    </row>
    <row r="13" spans="1:12" x14ac:dyDescent="0.25">
      <c r="A13" s="8">
        <v>2023</v>
      </c>
      <c r="B13" s="9" t="s">
        <v>6</v>
      </c>
      <c r="C13" s="8">
        <v>1750</v>
      </c>
      <c r="D13" s="8">
        <v>770</v>
      </c>
      <c r="E13" s="8">
        <v>30</v>
      </c>
      <c r="F13" s="8">
        <v>950</v>
      </c>
      <c r="G13" s="8">
        <v>800</v>
      </c>
      <c r="H13" s="8" t="s">
        <v>7</v>
      </c>
      <c r="I13" s="8">
        <v>333</v>
      </c>
      <c r="J13" s="7"/>
      <c r="K13" s="3">
        <f t="shared" si="0"/>
        <v>3.896103896103896E-2</v>
      </c>
      <c r="L13" s="3">
        <f t="shared" si="1"/>
        <v>3.7499999999999999E-2</v>
      </c>
    </row>
    <row r="14" spans="1:12" x14ac:dyDescent="0.25">
      <c r="A14" s="8">
        <v>2023</v>
      </c>
      <c r="B14" s="9" t="s">
        <v>10</v>
      </c>
      <c r="C14" s="8">
        <v>1000</v>
      </c>
      <c r="D14" s="8">
        <v>340</v>
      </c>
      <c r="E14" s="8">
        <v>30</v>
      </c>
      <c r="F14" s="8">
        <v>630</v>
      </c>
      <c r="G14" s="8">
        <v>370</v>
      </c>
      <c r="H14" s="8" t="s">
        <v>11</v>
      </c>
      <c r="I14" s="8">
        <v>333</v>
      </c>
      <c r="J14" s="7"/>
      <c r="K14" s="3">
        <f t="shared" si="0"/>
        <v>8.8235294117647065E-2</v>
      </c>
      <c r="L14" s="3">
        <f t="shared" si="1"/>
        <v>8.1081081081081086E-2</v>
      </c>
    </row>
    <row r="15" spans="1:12" x14ac:dyDescent="0.25">
      <c r="A15" s="5">
        <v>2024</v>
      </c>
      <c r="B15" s="6" t="s">
        <v>12</v>
      </c>
      <c r="C15" s="5">
        <v>710</v>
      </c>
      <c r="D15" s="5">
        <v>190</v>
      </c>
      <c r="E15" s="5">
        <v>20</v>
      </c>
      <c r="F15" s="5">
        <v>500</v>
      </c>
      <c r="G15" s="5">
        <v>210</v>
      </c>
      <c r="H15" s="5" t="s">
        <v>13</v>
      </c>
      <c r="I15" s="5">
        <v>328</v>
      </c>
      <c r="J15" s="5">
        <v>2774</v>
      </c>
      <c r="K15" s="3">
        <f t="shared" si="0"/>
        <v>0.10526315789473684</v>
      </c>
      <c r="L15" s="3">
        <f t="shared" si="1"/>
        <v>9.5238095238095233E-2</v>
      </c>
    </row>
    <row r="16" spans="1:12" x14ac:dyDescent="0.25">
      <c r="A16" s="5">
        <v>2024</v>
      </c>
      <c r="B16" s="6" t="s">
        <v>51</v>
      </c>
      <c r="C16" s="5">
        <v>1908</v>
      </c>
      <c r="D16" s="7">
        <f>675-E16</f>
        <v>545</v>
      </c>
      <c r="E16" s="5">
        <v>130</v>
      </c>
      <c r="F16" s="7">
        <v>1276</v>
      </c>
      <c r="G16" s="5">
        <f>675</f>
        <v>675</v>
      </c>
      <c r="H16" s="5" t="s">
        <v>52</v>
      </c>
      <c r="I16" s="5">
        <v>320</v>
      </c>
      <c r="J16" s="10"/>
      <c r="K16" s="3"/>
    </row>
  </sheetData>
  <conditionalFormatting sqref="K2:K1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max"/>
        <color rgb="FFFCFCFF"/>
        <color rgb="FF63BE7B"/>
      </colorScale>
    </cfRule>
  </conditionalFormatting>
  <conditionalFormatting sqref="K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All Real Landers</vt:lpstr>
      <vt:lpstr>Feuil1</vt:lpstr>
      <vt:lpstr>All Real Unmanned Landers</vt:lpstr>
      <vt:lpstr>Feuil2</vt:lpstr>
      <vt:lpstr>Just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2015-06-05T18:19:34Z</dcterms:created>
  <dcterms:modified xsi:type="dcterms:W3CDTF">2025-09-08T13:26:52Z</dcterms:modified>
</cp:coreProperties>
</file>