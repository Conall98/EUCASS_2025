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AACAC3BF-309F-4540-A714-7F67E641F9A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 Real Landers" sheetId="1" r:id="rId1"/>
    <sheet name="Feuil1" sheetId="4" r:id="rId2"/>
    <sheet name="All Real Unmanned Landers" sheetId="2" r:id="rId3"/>
    <sheet name="Feuil2" sheetId="5" r:id="rId4"/>
    <sheet name="Just model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1" l="1"/>
  <c r="F6" i="1"/>
  <c r="F7" i="1"/>
  <c r="L31" i="1"/>
  <c r="L34" i="1"/>
  <c r="K31" i="1"/>
  <c r="K34" i="1"/>
  <c r="F34" i="1"/>
  <c r="G34" i="1" s="1"/>
  <c r="D33" i="1"/>
  <c r="L33" i="1" s="1"/>
  <c r="G32" i="1"/>
  <c r="D32" i="1"/>
  <c r="L32" i="1" s="1"/>
  <c r="F33" i="1" l="1"/>
  <c r="G33" i="1" s="1"/>
  <c r="K33" i="1"/>
  <c r="K32" i="1"/>
  <c r="L32" i="4"/>
  <c r="K32" i="4"/>
  <c r="G30" i="4"/>
  <c r="D30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F20" i="4"/>
  <c r="D20" i="4"/>
  <c r="L20" i="4" s="1"/>
  <c r="L19" i="4"/>
  <c r="K19" i="4"/>
  <c r="F19" i="4"/>
  <c r="D19" i="4"/>
  <c r="F18" i="4"/>
  <c r="D18" i="4"/>
  <c r="L18" i="4" s="1"/>
  <c r="L17" i="4"/>
  <c r="K17" i="4"/>
  <c r="F17" i="4"/>
  <c r="G17" i="4" s="1"/>
  <c r="L16" i="4"/>
  <c r="K16" i="4"/>
  <c r="G16" i="4"/>
  <c r="F16" i="4"/>
  <c r="L15" i="4"/>
  <c r="K15" i="4"/>
  <c r="F15" i="4"/>
  <c r="G15" i="4" s="1"/>
  <c r="L14" i="4"/>
  <c r="K14" i="4"/>
  <c r="G14" i="4"/>
  <c r="F14" i="4"/>
  <c r="L13" i="4"/>
  <c r="K13" i="4"/>
  <c r="F13" i="4"/>
  <c r="D13" i="4"/>
  <c r="D12" i="4"/>
  <c r="F12" i="4" s="1"/>
  <c r="L11" i="4"/>
  <c r="K11" i="4"/>
  <c r="G11" i="4"/>
  <c r="F11" i="4"/>
  <c r="L10" i="4"/>
  <c r="K10" i="4"/>
  <c r="G10" i="4"/>
  <c r="F10" i="4"/>
  <c r="L9" i="4"/>
  <c r="K9" i="4"/>
  <c r="F9" i="4"/>
  <c r="G9" i="4" s="1"/>
  <c r="L8" i="4"/>
  <c r="K8" i="4"/>
  <c r="F8" i="4"/>
  <c r="L7" i="4"/>
  <c r="K7" i="4"/>
  <c r="F7" i="4"/>
  <c r="L6" i="4"/>
  <c r="K6" i="4"/>
  <c r="F6" i="4"/>
  <c r="L5" i="4"/>
  <c r="K5" i="4"/>
  <c r="F5" i="4"/>
  <c r="L4" i="4"/>
  <c r="K4" i="4"/>
  <c r="F4" i="4"/>
  <c r="L3" i="4"/>
  <c r="K3" i="4"/>
  <c r="G3" i="4"/>
  <c r="F3" i="4"/>
  <c r="L2" i="4"/>
  <c r="K2" i="4"/>
  <c r="F2" i="4"/>
  <c r="G2" i="4" s="1"/>
  <c r="G16" i="3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30" i="1"/>
  <c r="D30" i="1"/>
  <c r="L30" i="1" l="1"/>
  <c r="K30" i="1"/>
  <c r="K20" i="4"/>
  <c r="K18" i="4"/>
  <c r="L12" i="4"/>
  <c r="K12" i="4"/>
  <c r="K8" i="3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2" i="1"/>
  <c r="L26" i="1"/>
  <c r="K22" i="1"/>
  <c r="K26" i="1"/>
  <c r="L10" i="1"/>
  <c r="K10" i="1"/>
  <c r="F10" i="1"/>
  <c r="G10" i="1" s="1"/>
  <c r="L9" i="1"/>
  <c r="K9" i="1"/>
  <c r="F9" i="1"/>
  <c r="G9" i="1" s="1"/>
  <c r="L14" i="1"/>
  <c r="K14" i="1"/>
  <c r="F14" i="1"/>
  <c r="G14" i="1" s="1"/>
  <c r="L13" i="1"/>
  <c r="K13" i="1"/>
  <c r="F13" i="1"/>
  <c r="G13" i="1" s="1"/>
  <c r="L18" i="1"/>
  <c r="K18" i="1"/>
  <c r="F18" i="1"/>
  <c r="G18" i="1" s="1"/>
  <c r="L17" i="1"/>
  <c r="K17" i="1"/>
  <c r="F17" i="1"/>
  <c r="G17" i="1" s="1"/>
  <c r="L15" i="1"/>
  <c r="K15" i="1"/>
  <c r="F15" i="1"/>
  <c r="G15" i="1" s="1"/>
  <c r="D19" i="1"/>
  <c r="L19" i="1" s="1"/>
  <c r="L25" i="1"/>
  <c r="K25" i="1"/>
  <c r="D12" i="1"/>
  <c r="K12" i="1" s="1"/>
  <c r="F16" i="1"/>
  <c r="D16" i="1"/>
  <c r="F11" i="1"/>
  <c r="D11" i="1"/>
  <c r="F20" i="1"/>
  <c r="D20" i="1"/>
  <c r="K20" i="1" s="1"/>
  <c r="L24" i="1"/>
  <c r="K24" i="1"/>
  <c r="L21" i="1"/>
  <c r="K21" i="1"/>
  <c r="L4" i="1"/>
  <c r="K4" i="1"/>
  <c r="F4" i="1"/>
  <c r="G4" i="1" s="1"/>
  <c r="L2" i="1"/>
  <c r="K2" i="1"/>
  <c r="F2" i="1"/>
  <c r="L7" i="1"/>
  <c r="K7" i="1"/>
  <c r="L6" i="1"/>
  <c r="K6" i="1"/>
  <c r="L5" i="1"/>
  <c r="K5" i="1"/>
  <c r="F5" i="1"/>
  <c r="L8" i="1"/>
  <c r="K8" i="1"/>
  <c r="F8" i="1"/>
  <c r="L3" i="1"/>
  <c r="K3" i="1"/>
  <c r="F3" i="1"/>
  <c r="G3" i="1" s="1"/>
  <c r="L29" i="1"/>
  <c r="K29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1" i="1"/>
  <c r="K11" i="1"/>
  <c r="K16" i="1"/>
  <c r="F19" i="1"/>
  <c r="L16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E4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C11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G16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C24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4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9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tc={F43BA908-11C1-4486-9AC9-41BED78EF776}</author>
    <author>Conall De Paor</author>
  </authors>
  <commentList>
    <comment ref="D1" authorId="0" shapeId="0" xr:uid="{118F50EB-C5EC-4A63-8FD7-077B5C37977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F43BA908-11C1-4486-9AC9-41BED78EF77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4B34D8DF-0F6D-4AD3-8B2B-545F2BAFB19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E7E3A4DB-37AA-47A2-A251-864FF83CF6B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34FFCA51-DBC1-4417-9C71-EC3534F86C6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2638958B-4796-46A4-BE38-4BA0C87342C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17FE65AD-0888-400B-8275-2CCA7D2C9A8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226BDF04-68AF-439D-866C-946723FBEF4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0B5C07EA-0631-4FFB-ADE8-1E9D6019902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5055D07E-FB7E-4E54-A9DE-5D5BC749959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1AD89E3F-B071-4890-A093-CFF9CDAA0B3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3063B9F3-68A4-4A2F-8EB5-A76C58B0097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222C2F4F-0FE2-4D95-886C-21D8078F02C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BE344809-DB50-4BB5-9100-AEB307E3438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61C289E1-1904-4737-8599-4B8B604F79A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A1A94A72-09D4-4449-BF0C-66C51BB0C21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21E7DF2-5DFC-4CF2-A1A9-385E2A647BB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8BC0D484-7C82-4BA6-9C9B-007B98BA7F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<sst xmlns="http://schemas.openxmlformats.org/spreadsheetml/2006/main" count="249" uniqueCount="63">
  <si>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</si>
  <si>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</si>
  <si>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</si>
  <si>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</si>
  <si>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</si>
  <si>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</si>
  <si>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</si>
  <si>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</si>
  <si>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</si>
  <si>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</si>
  <si>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</si>
  <si>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</si>
  <si>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</si>
  <si>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</si>
  <si>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</si>
  <si>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</si>
  <si>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</si>
  <si>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</si>
  <si>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</si>
  <si>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</si>
  <si>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</si>
  <si>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</si>
  <si>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</si>
  <si>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</si>
  <si>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</si>
  <si>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</si>
  <si>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</si>
  <si>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</si>
  <si>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</si>
  <si>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</si>
  <si>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</si>
  <si>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</si>
  <si>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</si>
  <si>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</si>
  <si>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</si>
  <si>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</si>
  <si>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</si>
  <si>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</si>
  <si>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</si>
  <si>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</si>
  <si>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</si>
  <si>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</si>
  <si>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</si>
  <si>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</si>
  <si>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</si>
  <si>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</si>
  <si>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</si>
  <si>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</si>
  <si>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</si>
  <si>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</si>
  <si>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</si>
  <si>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</si>
  <si>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</si>
  <si>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model</t>
  </si>
  <si>
    <t>mt</t>
  </si>
  <si>
    <t>md</t>
  </si>
  <si>
    <t>mp</t>
  </si>
  <si>
    <t>mprop</t>
  </si>
  <si>
    <t>minert</t>
  </si>
  <si>
    <t>Chang'e 6</t>
  </si>
  <si>
    <t>Blueghost</t>
  </si>
  <si>
    <t>Athena</t>
  </si>
  <si>
    <t>Hakuto-R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</si>
</sst>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5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F43BA908-11C1-4486-9AC9-41BED78EF776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"/>
  <sheetViews>
    <sheetView tabSelected="1" topLeftCell="A13" zoomScale="115" zoomScaleNormal="115" workbookViewId="0">
      <selection activeCell="J32" sqref="J32"/>
    </sheetView>
  </sheetViews>
  <sheetFormatPr baseColWidth="10" defaultColWidth="8.85546875" defaultRowHeight="15" x14ac:dyDescent="0.25"/>
  <cols>
    <col min="2" max="2" width="16" bestFit="1" customWidth="1"/>
    <col min="3" max="3" width="13.42578125" bestFit="1" customWidth="1"/>
    <col min="4" max="4" width="14" bestFit="1" customWidth="1"/>
    <col min="5" max="5" width="18.5703125" bestFit="1" customWidth="1"/>
    <col min="6" max="6" width="18" bestFit="1" customWidth="1"/>
    <col min="7" max="7" width="9.85546875" bestFit="1" customWidth="1"/>
    <col min="8" max="8" width="15.85546875" customWidth="1"/>
    <col min="9" max="9" width="11.42578125" customWidth="1"/>
    <col min="12" max="12" width="10.42578125" bestFit="1" customWidth="1"/>
  </cols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14">
        <v>1966</v>
      </c>
      <c r="B2" s="15" t="s">
        <v>21</v>
      </c>
      <c r="C2" s="14">
        <v>995.2</v>
      </c>
      <c r="D2" s="14">
        <v>262</v>
      </c>
      <c r="E2" s="14">
        <v>33</v>
      </c>
      <c r="F2" s="14">
        <f t="shared" ref="F2:F10" si="0">C2-D2-E2</f>
        <v>700.2</v>
      </c>
      <c r="G2" s="14">
        <v>295</v>
      </c>
      <c r="H2" s="14" t="s">
        <v>17</v>
      </c>
      <c r="I2" s="14">
        <v>230</v>
      </c>
      <c r="J2" s="14">
        <v>2612</v>
      </c>
      <c r="K2" s="3">
        <f t="shared" ref="K2:K34" si="1">E2/D2</f>
        <v>0.12595419847328243</v>
      </c>
      <c r="L2" s="3">
        <f t="shared" ref="L2:L34" si="2">E2/(D2+E2)</f>
        <v>0.11186440677966102</v>
      </c>
    </row>
    <row r="3" spans="1:12" x14ac:dyDescent="0.25">
      <c r="A3" s="5">
        <v>1966</v>
      </c>
      <c r="B3" s="6" t="s">
        <v>14</v>
      </c>
      <c r="C3" s="5">
        <v>1538</v>
      </c>
      <c r="D3" s="5">
        <v>847</v>
      </c>
      <c r="E3" s="5">
        <v>99.8</v>
      </c>
      <c r="F3" s="5">
        <f t="shared" si="0"/>
        <v>591.20000000000005</v>
      </c>
      <c r="G3" s="5">
        <f>C3-F3</f>
        <v>946.8</v>
      </c>
      <c r="H3" s="5" t="s">
        <v>15</v>
      </c>
      <c r="I3" s="5">
        <v>287</v>
      </c>
      <c r="J3" s="5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22</v>
      </c>
      <c r="C4" s="8">
        <v>1620</v>
      </c>
      <c r="D4" s="8">
        <v>800</v>
      </c>
      <c r="E4" s="8">
        <v>112</v>
      </c>
      <c r="F4" s="8">
        <f t="shared" si="0"/>
        <v>708</v>
      </c>
      <c r="G4" s="8">
        <f>C4-F4</f>
        <v>912</v>
      </c>
      <c r="H4" s="8" t="s">
        <v>15</v>
      </c>
      <c r="I4" s="8">
        <v>287</v>
      </c>
      <c r="J4" s="8">
        <v>1880</v>
      </c>
      <c r="K4" s="3">
        <f t="shared" si="1"/>
        <v>0.14000000000000001</v>
      </c>
      <c r="L4" s="3">
        <f t="shared" si="2"/>
        <v>0.12280701754385964</v>
      </c>
    </row>
    <row r="5" spans="1:12" x14ac:dyDescent="0.25">
      <c r="A5" s="5">
        <v>1967</v>
      </c>
      <c r="B5" s="6" t="s">
        <v>18</v>
      </c>
      <c r="C5" s="5">
        <v>1006</v>
      </c>
      <c r="D5" s="5">
        <v>271</v>
      </c>
      <c r="E5" s="5">
        <v>33.01</v>
      </c>
      <c r="F5" s="5">
        <f t="shared" si="0"/>
        <v>701.99</v>
      </c>
      <c r="G5" s="5">
        <v>304</v>
      </c>
      <c r="H5" s="5" t="s">
        <v>17</v>
      </c>
      <c r="I5" s="5">
        <v>230</v>
      </c>
      <c r="J5" s="5">
        <v>2612</v>
      </c>
      <c r="K5" s="3">
        <f t="shared" si="1"/>
        <v>0.12180811808118081</v>
      </c>
      <c r="L5" s="3">
        <f t="shared" si="2"/>
        <v>0.10858195454096904</v>
      </c>
    </row>
    <row r="6" spans="1:12" x14ac:dyDescent="0.25">
      <c r="A6" s="8">
        <v>1967</v>
      </c>
      <c r="B6" s="9" t="s">
        <v>19</v>
      </c>
      <c r="C6" s="8">
        <v>1026</v>
      </c>
      <c r="D6" s="8">
        <v>267</v>
      </c>
      <c r="E6" s="8">
        <v>33.020000000000003</v>
      </c>
      <c r="F6" s="8">
        <f t="shared" si="0"/>
        <v>725.98</v>
      </c>
      <c r="G6" s="8">
        <v>300</v>
      </c>
      <c r="H6" s="8" t="s">
        <v>17</v>
      </c>
      <c r="I6" s="8">
        <v>230</v>
      </c>
      <c r="J6" s="8">
        <v>2612</v>
      </c>
      <c r="K6" s="3">
        <f t="shared" si="1"/>
        <v>0.12367041198501874</v>
      </c>
      <c r="L6" s="3">
        <f t="shared" si="2"/>
        <v>0.11005932937804148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33.03</v>
      </c>
      <c r="F7" s="5">
        <f t="shared" si="0"/>
        <v>726.97</v>
      </c>
      <c r="G7" s="5">
        <v>299</v>
      </c>
      <c r="H7" s="5" t="s">
        <v>17</v>
      </c>
      <c r="I7" s="5">
        <v>230</v>
      </c>
      <c r="J7" s="5">
        <v>2612</v>
      </c>
      <c r="K7" s="3">
        <f t="shared" si="1"/>
        <v>0.12417293233082707</v>
      </c>
      <c r="L7" s="3">
        <f t="shared" si="2"/>
        <v>0.11045714476808348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33.04</v>
      </c>
      <c r="F8" s="8">
        <f t="shared" si="0"/>
        <v>732.96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0.12102564102564102</v>
      </c>
      <c r="L8" s="3">
        <f t="shared" si="2"/>
        <v>0.10795974382433668</v>
      </c>
    </row>
    <row r="9" spans="1:12" x14ac:dyDescent="0.25">
      <c r="A9" s="5">
        <v>1969</v>
      </c>
      <c r="B9" s="6" t="s">
        <v>42</v>
      </c>
      <c r="C9" s="5">
        <v>15065</v>
      </c>
      <c r="D9" s="5">
        <v>2034</v>
      </c>
      <c r="E9" s="5">
        <v>4819</v>
      </c>
      <c r="F9" s="5">
        <f t="shared" si="0"/>
        <v>8212</v>
      </c>
      <c r="G9" s="5">
        <f>C9-F9</f>
        <v>6853</v>
      </c>
      <c r="H9" s="5" t="s">
        <v>43</v>
      </c>
      <c r="I9" s="5">
        <v>311</v>
      </c>
      <c r="J9" s="5">
        <v>2273</v>
      </c>
      <c r="K9" s="3">
        <f t="shared" si="1"/>
        <v>2.3692232055063913</v>
      </c>
      <c r="L9" s="3">
        <f t="shared" si="2"/>
        <v>0.70319568072377059</v>
      </c>
    </row>
    <row r="10" spans="1:12" x14ac:dyDescent="0.25">
      <c r="A10" s="8">
        <v>1969</v>
      </c>
      <c r="B10" s="9" t="s">
        <v>44</v>
      </c>
      <c r="C10" s="8">
        <v>15103</v>
      </c>
      <c r="D10" s="8">
        <v>2034</v>
      </c>
      <c r="E10" s="8">
        <v>4821</v>
      </c>
      <c r="F10" s="8">
        <f t="shared" si="0"/>
        <v>8248</v>
      </c>
      <c r="G10" s="8">
        <f>C10-F10</f>
        <v>6855</v>
      </c>
      <c r="H10" s="8" t="s">
        <v>45</v>
      </c>
      <c r="I10" s="8">
        <v>311</v>
      </c>
      <c r="J10" s="8">
        <v>2261</v>
      </c>
      <c r="K10" s="3">
        <f t="shared" si="1"/>
        <v>2.3702064896755162</v>
      </c>
      <c r="L10" s="3">
        <f t="shared" si="2"/>
        <v>0.70328227571115975</v>
      </c>
    </row>
    <row r="11" spans="1:12" x14ac:dyDescent="0.25">
      <c r="A11" s="5">
        <v>1970</v>
      </c>
      <c r="B11" s="6" t="s">
        <v>27</v>
      </c>
      <c r="C11" s="5">
        <v>5727</v>
      </c>
      <c r="D11" s="5">
        <f>G11-E11</f>
        <v>1360</v>
      </c>
      <c r="E11" s="5">
        <v>520</v>
      </c>
      <c r="F11" s="5">
        <f>C11-G11</f>
        <v>3847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25">
      <c r="A12" s="8">
        <v>1970</v>
      </c>
      <c r="B12" s="9" t="s">
        <v>29</v>
      </c>
      <c r="C12" s="8">
        <v>5660</v>
      </c>
      <c r="D12" s="8">
        <f>G12-E12</f>
        <v>1144</v>
      </c>
      <c r="E12" s="8">
        <v>756</v>
      </c>
      <c r="F12" s="8">
        <f>C12-D12-E12</f>
        <v>3760</v>
      </c>
      <c r="G12" s="8">
        <v>1900</v>
      </c>
      <c r="H12" s="8" t="s">
        <v>26</v>
      </c>
      <c r="I12" s="8">
        <v>314</v>
      </c>
      <c r="J12" s="8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25">
      <c r="A13" s="5">
        <v>1970</v>
      </c>
      <c r="B13" s="6" t="s">
        <v>38</v>
      </c>
      <c r="C13" s="5">
        <v>14916</v>
      </c>
      <c r="D13" s="5">
        <v>2109</v>
      </c>
      <c r="E13" s="5">
        <v>4489</v>
      </c>
      <c r="F13" s="5">
        <f>C13-D13-E13</f>
        <v>8318</v>
      </c>
      <c r="G13" s="5">
        <f>C13-F13</f>
        <v>6598</v>
      </c>
      <c r="H13" s="5" t="s">
        <v>39</v>
      </c>
      <c r="I13" s="5">
        <v>311</v>
      </c>
      <c r="J13" s="5">
        <v>2263</v>
      </c>
      <c r="K13" s="3">
        <f t="shared" si="1"/>
        <v>2.1284969179706024</v>
      </c>
      <c r="L13" s="3">
        <f t="shared" si="2"/>
        <v>0.68035768414671116</v>
      </c>
    </row>
    <row r="14" spans="1:12" x14ac:dyDescent="0.25">
      <c r="A14" s="8">
        <v>1971</v>
      </c>
      <c r="B14" s="9" t="s">
        <v>40</v>
      </c>
      <c r="C14" s="8">
        <v>15034</v>
      </c>
      <c r="D14" s="8">
        <v>2134</v>
      </c>
      <c r="E14" s="8">
        <v>4700</v>
      </c>
      <c r="F14" s="8">
        <f>C14-D14-E14</f>
        <v>8200</v>
      </c>
      <c r="G14" s="8">
        <f>C14-F14</f>
        <v>6834</v>
      </c>
      <c r="H14" s="8" t="s">
        <v>41</v>
      </c>
      <c r="I14" s="8">
        <v>311</v>
      </c>
      <c r="J14" s="8">
        <v>2263</v>
      </c>
      <c r="K14" s="3">
        <f t="shared" si="1"/>
        <v>2.202436738519213</v>
      </c>
      <c r="L14" s="3">
        <f t="shared" si="2"/>
        <v>0.68773778167983612</v>
      </c>
    </row>
    <row r="15" spans="1:12" x14ac:dyDescent="0.25">
      <c r="A15" s="5">
        <v>1971</v>
      </c>
      <c r="B15" s="6" t="s">
        <v>32</v>
      </c>
      <c r="C15" s="5">
        <v>16447</v>
      </c>
      <c r="D15" s="5">
        <v>2626</v>
      </c>
      <c r="E15" s="5">
        <v>4795</v>
      </c>
      <c r="F15" s="5">
        <f>C15-D15-E15</f>
        <v>9026</v>
      </c>
      <c r="G15" s="5">
        <f>C15-F15</f>
        <v>7421</v>
      </c>
      <c r="H15" s="5" t="s">
        <v>33</v>
      </c>
      <c r="I15" s="5">
        <v>311</v>
      </c>
      <c r="J15" s="5">
        <v>2250</v>
      </c>
      <c r="K15" s="3">
        <f t="shared" si="1"/>
        <v>1.8259710586443261</v>
      </c>
      <c r="L15" s="3">
        <f t="shared" si="2"/>
        <v>0.64613933432152004</v>
      </c>
    </row>
    <row r="16" spans="1:12" x14ac:dyDescent="0.25">
      <c r="A16" s="8">
        <v>1972</v>
      </c>
      <c r="B16" s="9" t="s">
        <v>28</v>
      </c>
      <c r="C16" s="8">
        <v>5750</v>
      </c>
      <c r="D16" s="8">
        <f>G16-E16</f>
        <v>1359.99</v>
      </c>
      <c r="E16" s="8">
        <v>520.01</v>
      </c>
      <c r="F16" s="8">
        <f>C16-G16</f>
        <v>3870</v>
      </c>
      <c r="G16" s="8">
        <v>1880</v>
      </c>
      <c r="H16" s="8" t="s">
        <v>26</v>
      </c>
      <c r="I16" s="8">
        <v>314</v>
      </c>
      <c r="J16" s="8">
        <v>1880</v>
      </c>
      <c r="K16" s="3">
        <f t="shared" si="1"/>
        <v>0.38236310561107067</v>
      </c>
      <c r="L16" s="3">
        <f t="shared" si="2"/>
        <v>0.27660106382978722</v>
      </c>
    </row>
    <row r="17" spans="1:14" x14ac:dyDescent="0.25">
      <c r="A17" s="5">
        <v>1972</v>
      </c>
      <c r="B17" s="6" t="s">
        <v>34</v>
      </c>
      <c r="C17" s="5">
        <v>16447</v>
      </c>
      <c r="D17" s="5">
        <v>2626</v>
      </c>
      <c r="E17" s="5">
        <v>4795.01</v>
      </c>
      <c r="F17" s="5">
        <f>C17-D17-E17</f>
        <v>9025.99</v>
      </c>
      <c r="G17" s="5">
        <f>C17-F17</f>
        <v>7421.01</v>
      </c>
      <c r="H17" s="5" t="s">
        <v>35</v>
      </c>
      <c r="I17" s="5">
        <v>311</v>
      </c>
      <c r="J17" s="5">
        <v>2267</v>
      </c>
      <c r="K17" s="3">
        <f t="shared" si="1"/>
        <v>1.8259748667174411</v>
      </c>
      <c r="L17" s="3">
        <f t="shared" si="2"/>
        <v>0.64613981115778041</v>
      </c>
    </row>
    <row r="18" spans="1:14" x14ac:dyDescent="0.25">
      <c r="A18" s="8">
        <v>1972</v>
      </c>
      <c r="B18" s="9" t="s">
        <v>36</v>
      </c>
      <c r="C18" s="8">
        <v>16447</v>
      </c>
      <c r="D18" s="8">
        <v>2626</v>
      </c>
      <c r="E18" s="8">
        <v>4795.0200000000004</v>
      </c>
      <c r="F18" s="8">
        <f>C18-D18-E18</f>
        <v>9025.98</v>
      </c>
      <c r="G18" s="8">
        <f>C18-F18</f>
        <v>7421.02</v>
      </c>
      <c r="H18" s="8" t="s">
        <v>37</v>
      </c>
      <c r="I18" s="8">
        <v>311</v>
      </c>
      <c r="J18" s="8">
        <v>2265</v>
      </c>
      <c r="K18" s="3">
        <f t="shared" si="1"/>
        <v>1.8259786747905562</v>
      </c>
      <c r="L18" s="3">
        <f t="shared" si="2"/>
        <v>0.64614028799275569</v>
      </c>
    </row>
    <row r="19" spans="1:14" x14ac:dyDescent="0.25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 t="s">
        <v>26</v>
      </c>
      <c r="I19" s="5">
        <v>314</v>
      </c>
      <c r="J19" s="5">
        <v>1880</v>
      </c>
      <c r="K19" s="3">
        <f t="shared" si="1"/>
        <v>0.83599999999999997</v>
      </c>
      <c r="L19" s="3">
        <f t="shared" si="2"/>
        <v>0.45533769063180829</v>
      </c>
    </row>
    <row r="20" spans="1:14" x14ac:dyDescent="0.25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4" x14ac:dyDescent="0.25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4" x14ac:dyDescent="0.25">
      <c r="A22" s="8">
        <v>2019</v>
      </c>
      <c r="B22" s="9" t="s">
        <v>46</v>
      </c>
      <c r="C22" s="8">
        <v>585</v>
      </c>
      <c r="D22" s="8">
        <v>150</v>
      </c>
      <c r="E22" s="8">
        <v>0.1</v>
      </c>
      <c r="F22" s="8">
        <v>435</v>
      </c>
      <c r="G22" s="8">
        <v>150</v>
      </c>
      <c r="H22" s="8" t="s">
        <v>9</v>
      </c>
      <c r="I22" s="8">
        <v>318</v>
      </c>
      <c r="J22" s="8">
        <v>1930</v>
      </c>
      <c r="K22" s="3">
        <f t="shared" si="1"/>
        <v>6.6666666666666675E-4</v>
      </c>
      <c r="L22" s="3">
        <f t="shared" si="2"/>
        <v>6.6622251832111927E-4</v>
      </c>
    </row>
    <row r="23" spans="1:14" x14ac:dyDescent="0.25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5">
        <v>2000</v>
      </c>
      <c r="K23" s="3">
        <f t="shared" si="1"/>
        <v>4.3130990415335461E-2</v>
      </c>
      <c r="L23" s="3">
        <f t="shared" si="2"/>
        <v>4.1347626339969371E-2</v>
      </c>
    </row>
    <row r="24" spans="1:14" x14ac:dyDescent="0.25">
      <c r="A24" s="8">
        <v>2019</v>
      </c>
      <c r="B24" s="9" t="s">
        <v>24</v>
      </c>
      <c r="C24" s="8">
        <v>3640</v>
      </c>
      <c r="D24" s="8">
        <v>1200</v>
      </c>
      <c r="E24" s="8">
        <v>170.01</v>
      </c>
      <c r="F24" s="8">
        <v>2270</v>
      </c>
      <c r="G24" s="8">
        <v>1370</v>
      </c>
      <c r="H24" s="8" t="s">
        <v>7</v>
      </c>
      <c r="I24" s="8">
        <v>333</v>
      </c>
      <c r="J24" s="8">
        <v>1880</v>
      </c>
      <c r="K24" s="3">
        <f t="shared" si="1"/>
        <v>0.141675</v>
      </c>
      <c r="L24" s="3">
        <f t="shared" si="2"/>
        <v>0.12409398471544003</v>
      </c>
    </row>
    <row r="25" spans="1:14" x14ac:dyDescent="0.25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4" x14ac:dyDescent="0.25">
      <c r="A26" s="8">
        <v>2022</v>
      </c>
      <c r="B26" s="9" t="s">
        <v>47</v>
      </c>
      <c r="C26" s="8">
        <v>14.6</v>
      </c>
      <c r="D26" s="8">
        <v>0.7</v>
      </c>
      <c r="E26" s="8">
        <v>0.10100000000000001</v>
      </c>
      <c r="F26" s="8">
        <v>13.9</v>
      </c>
      <c r="G26" s="8">
        <v>0.69999999999999929</v>
      </c>
      <c r="H26" s="8" t="s">
        <v>48</v>
      </c>
      <c r="I26" s="8">
        <v>287</v>
      </c>
      <c r="J26" s="8">
        <v>2500</v>
      </c>
      <c r="K26" s="3">
        <f t="shared" si="1"/>
        <v>0.14428571428571429</v>
      </c>
      <c r="L26" s="3">
        <f t="shared" si="2"/>
        <v>0.12609238451935084</v>
      </c>
    </row>
    <row r="27" spans="1:14" x14ac:dyDescent="0.25">
      <c r="A27" s="5">
        <v>2023</v>
      </c>
      <c r="B27" s="6" t="s">
        <v>6</v>
      </c>
      <c r="C27" s="5">
        <v>1750</v>
      </c>
      <c r="D27" s="5">
        <v>770</v>
      </c>
      <c r="E27" s="5">
        <v>30</v>
      </c>
      <c r="F27" s="5">
        <v>950</v>
      </c>
      <c r="G27" s="5">
        <v>800</v>
      </c>
      <c r="H27" s="5" t="s">
        <v>7</v>
      </c>
      <c r="I27" s="5">
        <v>333</v>
      </c>
      <c r="J27" s="5">
        <v>2000</v>
      </c>
      <c r="K27" s="3">
        <f t="shared" si="1"/>
        <v>3.896103896103896E-2</v>
      </c>
      <c r="L27" s="3">
        <f t="shared" si="2"/>
        <v>3.7499999999999999E-2</v>
      </c>
    </row>
    <row r="28" spans="1:14" x14ac:dyDescent="0.25">
      <c r="A28" s="8">
        <v>2023</v>
      </c>
      <c r="B28" s="9" t="s">
        <v>10</v>
      </c>
      <c r="C28" s="8">
        <v>1000</v>
      </c>
      <c r="D28" s="8">
        <v>340</v>
      </c>
      <c r="E28" s="8">
        <v>30.01</v>
      </c>
      <c r="F28" s="8">
        <v>630</v>
      </c>
      <c r="G28" s="8">
        <v>370</v>
      </c>
      <c r="H28" s="8" t="s">
        <v>11</v>
      </c>
      <c r="I28" s="8">
        <v>336</v>
      </c>
      <c r="J28" s="8">
        <v>2000</v>
      </c>
      <c r="K28" s="3">
        <f t="shared" si="1"/>
        <v>8.826470588235294E-2</v>
      </c>
      <c r="L28" s="3">
        <f t="shared" si="2"/>
        <v>8.1105916056322808E-2</v>
      </c>
    </row>
    <row r="29" spans="1:14" x14ac:dyDescent="0.25">
      <c r="A29" s="5">
        <v>2024</v>
      </c>
      <c r="B29" s="6" t="s">
        <v>12</v>
      </c>
      <c r="C29" s="5">
        <v>710</v>
      </c>
      <c r="D29" s="5">
        <v>190</v>
      </c>
      <c r="E29" s="5">
        <v>20</v>
      </c>
      <c r="F29" s="5">
        <v>500</v>
      </c>
      <c r="G29" s="5">
        <v>210</v>
      </c>
      <c r="H29" s="5" t="s">
        <v>13</v>
      </c>
      <c r="I29" s="5">
        <v>328</v>
      </c>
      <c r="J29" s="5">
        <v>2774</v>
      </c>
      <c r="K29" s="3">
        <f t="shared" si="1"/>
        <v>0.10526315789473684</v>
      </c>
      <c r="L29" s="3">
        <f t="shared" si="2"/>
        <v>9.5238095238095233E-2</v>
      </c>
    </row>
    <row r="30" spans="1:14" x14ac:dyDescent="0.25">
      <c r="A30" s="8">
        <v>2024</v>
      </c>
      <c r="B30" s="9" t="s">
        <v>51</v>
      </c>
      <c r="C30" s="8">
        <v>1908</v>
      </c>
      <c r="D30" s="8">
        <f>675-E30</f>
        <v>545</v>
      </c>
      <c r="E30" s="8">
        <v>130</v>
      </c>
      <c r="F30" s="8">
        <v>1276</v>
      </c>
      <c r="G30" s="8">
        <f>675</f>
        <v>675</v>
      </c>
      <c r="H30" s="8" t="s">
        <v>52</v>
      </c>
      <c r="I30" s="8">
        <v>360</v>
      </c>
      <c r="J30" s="8">
        <v>2500</v>
      </c>
      <c r="K30" s="3">
        <f t="shared" si="1"/>
        <v>0.23853211009174313</v>
      </c>
      <c r="L30" s="3">
        <f t="shared" si="2"/>
        <v>0.19259259259259259</v>
      </c>
      <c r="N30">
        <f>325*9.81*LN((C30)/(D30+E30))</f>
        <v>3312.904712240902</v>
      </c>
    </row>
    <row r="31" spans="1:14" x14ac:dyDescent="0.25">
      <c r="A31" s="5">
        <v>2024</v>
      </c>
      <c r="B31" s="6" t="s">
        <v>59</v>
      </c>
      <c r="C31" s="5">
        <v>3800</v>
      </c>
      <c r="D31" s="5">
        <v>1200</v>
      </c>
      <c r="E31" s="5">
        <v>800</v>
      </c>
      <c r="F31" s="5">
        <v>1800</v>
      </c>
      <c r="G31" s="5">
        <v>2000</v>
      </c>
      <c r="H31" s="5" t="s">
        <v>7</v>
      </c>
      <c r="I31" s="5">
        <v>333</v>
      </c>
      <c r="J31" s="5">
        <v>1930</v>
      </c>
      <c r="K31" s="3">
        <f t="shared" si="1"/>
        <v>0.66666666666666663</v>
      </c>
      <c r="L31" s="3">
        <f t="shared" si="2"/>
        <v>0.4</v>
      </c>
    </row>
    <row r="32" spans="1:14" x14ac:dyDescent="0.25">
      <c r="A32" s="8">
        <v>2025</v>
      </c>
      <c r="B32" s="9" t="s">
        <v>60</v>
      </c>
      <c r="C32" s="8">
        <v>1517</v>
      </c>
      <c r="D32" s="8">
        <f>C32-E32-F32</f>
        <v>331</v>
      </c>
      <c r="E32" s="8">
        <v>150</v>
      </c>
      <c r="F32" s="8">
        <v>1036</v>
      </c>
      <c r="G32" s="8">
        <f>C32-F32</f>
        <v>481</v>
      </c>
      <c r="H32" s="8" t="s">
        <v>9</v>
      </c>
      <c r="I32" s="8">
        <v>340</v>
      </c>
      <c r="J32" s="16">
        <v>2500</v>
      </c>
      <c r="K32" s="3">
        <f t="shared" si="1"/>
        <v>0.45317220543806647</v>
      </c>
      <c r="L32" s="3">
        <f t="shared" si="2"/>
        <v>0.31185031185031187</v>
      </c>
    </row>
    <row r="33" spans="1:12" x14ac:dyDescent="0.25">
      <c r="A33" s="5">
        <v>2025</v>
      </c>
      <c r="B33" s="6" t="s">
        <v>61</v>
      </c>
      <c r="C33" s="5">
        <v>2120</v>
      </c>
      <c r="D33" s="5">
        <f>675-130</f>
        <v>545</v>
      </c>
      <c r="E33" s="5">
        <v>130</v>
      </c>
      <c r="F33" s="5">
        <f>C33-D33-E33</f>
        <v>1445</v>
      </c>
      <c r="G33" s="5">
        <f>C33-F33</f>
        <v>675</v>
      </c>
      <c r="H33" s="5" t="s">
        <v>52</v>
      </c>
      <c r="I33" s="5">
        <v>360</v>
      </c>
      <c r="J33" s="16">
        <v>2500</v>
      </c>
      <c r="K33" s="3">
        <f t="shared" si="1"/>
        <v>0.23853211009174313</v>
      </c>
      <c r="L33" s="3">
        <f t="shared" si="2"/>
        <v>0.19259259259259259</v>
      </c>
    </row>
    <row r="34" spans="1:12" x14ac:dyDescent="0.25">
      <c r="A34" s="8">
        <v>2025</v>
      </c>
      <c r="B34" s="9" t="s">
        <v>62</v>
      </c>
      <c r="C34" s="8">
        <v>1000</v>
      </c>
      <c r="D34" s="8">
        <v>340</v>
      </c>
      <c r="E34" s="8">
        <v>30</v>
      </c>
      <c r="F34" s="8">
        <f>C34-E34-D34</f>
        <v>630</v>
      </c>
      <c r="G34" s="8">
        <f>C34-F34</f>
        <v>370</v>
      </c>
      <c r="H34" s="8" t="s">
        <v>11</v>
      </c>
      <c r="I34" s="8">
        <v>336</v>
      </c>
      <c r="J34" s="16">
        <v>2500</v>
      </c>
      <c r="K34" s="3">
        <f t="shared" si="1"/>
        <v>8.8235294117647065E-2</v>
      </c>
      <c r="L34" s="3">
        <f t="shared" si="2"/>
        <v>8.1081081081081086E-2</v>
      </c>
    </row>
  </sheetData>
  <sortState xmlns:xlrd2="http://schemas.microsoft.com/office/spreadsheetml/2017/richdata2" ref="A2:L34">
    <sortCondition ref="A2:A34"/>
  </sortState>
  <conditionalFormatting sqref="K2:K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5FE63-1677-42A4-8B75-DD4C8D8979A4}">
  <dimension ref="A1:L32"/>
  <sheetViews>
    <sheetView topLeftCell="A8" zoomScale="74" workbookViewId="0">
      <selection sqref="A1:L32"/>
    </sheetView>
  </sheetViews>
  <sheetFormatPr baseColWidth="10" defaultColWidth="10.7109375" defaultRowHeight="15" x14ac:dyDescent="0.25"/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25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</row>
    <row r="10" spans="1:12" x14ac:dyDescent="0.25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</row>
    <row r="11" spans="1:12" x14ac:dyDescent="0.25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</row>
    <row r="12" spans="1:12" x14ac:dyDescent="0.25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25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</row>
    <row r="14" spans="1:12" x14ac:dyDescent="0.25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</row>
    <row r="15" spans="1:12" x14ac:dyDescent="0.25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</row>
    <row r="16" spans="1:12" x14ac:dyDescent="0.25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</row>
    <row r="17" spans="1:12" x14ac:dyDescent="0.25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</row>
    <row r="18" spans="1:12" x14ac:dyDescent="0.25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</row>
    <row r="19" spans="1:12" x14ac:dyDescent="0.25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</row>
    <row r="20" spans="1:12" x14ac:dyDescent="0.25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25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25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</row>
    <row r="23" spans="1:12" x14ac:dyDescent="0.25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</row>
    <row r="24" spans="1:12" x14ac:dyDescent="0.25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</row>
    <row r="25" spans="1:12" x14ac:dyDescent="0.25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25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</row>
    <row r="27" spans="1:12" x14ac:dyDescent="0.25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</row>
    <row r="28" spans="1:12" x14ac:dyDescent="0.25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2" x14ac:dyDescent="0.25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2" x14ac:dyDescent="0.25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2" x14ac:dyDescent="0.25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2" x14ac:dyDescent="0.25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</sheetData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zoomScale="70" workbookViewId="0">
      <selection activeCell="N20" sqref="N20"/>
    </sheetView>
  </sheetViews>
  <sheetFormatPr baseColWidth="10" defaultColWidth="10.7109375" defaultRowHeight="15" x14ac:dyDescent="0.25"/>
  <cols>
    <col min="2" max="2" width="13.140625" bestFit="1" customWidth="1"/>
  </cols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25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25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25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25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25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25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25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25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25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25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25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25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25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25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25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68D6A-64F0-4E55-9F6A-12E6ECCA0346}">
  <dimension ref="A1"/>
  <sheetViews>
    <sheetView workbookViewId="0">
      <selection activeCell="F30" sqref="F30"/>
    </sheetView>
  </sheetViews>
  <sheetFormatPr baseColWidth="10" defaultColWidth="10.7109375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ColWidth="10.7109375" defaultRowHeight="15" x14ac:dyDescent="0.25"/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25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25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25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25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25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25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25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25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25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25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25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25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All Real Landers</vt:lpstr>
      <vt:lpstr>Feuil1</vt:lpstr>
      <vt:lpstr>All Real Unmanned Landers</vt:lpstr>
      <vt:lpstr>Feuil2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2025-09-12T09:19:38Z</dcterms:modified>
</cp:coreProperties>
</file>