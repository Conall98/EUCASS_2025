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BF81D6BF-8632-48F7-BD66-613976C4E4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4" l="1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K20" i="4" l="1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<sst xmlns="http://schemas.openxmlformats.org/spreadsheetml/2006/main" count="240" uniqueCount="59">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</sst>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3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zoomScale="104" workbookViewId="0">
      <selection activeCell="E18" sqref="E18"/>
    </sheetView>
  </sheetViews>
  <sheetFormatPr baseColWidth="10" defaultColWidth="8.88671875" defaultRowHeight="14.4" x14ac:dyDescent="0.3"/>
  <cols>
    <col min="2" max="2" width="16" bestFit="1" customWidth="1"/>
    <col min="3" max="3" width="9.77734375" bestFit="1" customWidth="1"/>
    <col min="4" max="4" width="8.44140625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3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3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 t="shared" ref="F2:F10" si="0">C2-D2-E2</f>
        <v>700.2</v>
      </c>
      <c r="G2" s="14">
        <v>295</v>
      </c>
      <c r="H2" s="14" t="s">
        <v>17</v>
      </c>
      <c r="I2" s="14">
        <v>230</v>
      </c>
      <c r="J2" s="16">
        <v>2612</v>
      </c>
      <c r="K2" s="3">
        <f t="shared" ref="K2:K29" si="1">E2/D2</f>
        <v>0.12595419847328243</v>
      </c>
      <c r="L2" s="3">
        <f t="shared" ref="L2:L29" si="2">E2/(D2+E2)</f>
        <v>0.11186440677966102</v>
      </c>
      <c r="M2" s="4"/>
    </row>
    <row r="3" spans="1:13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3">
      <c r="A4" s="5">
        <v>1966</v>
      </c>
      <c r="B4" s="6" t="s">
        <v>22</v>
      </c>
      <c r="C4" s="5">
        <v>1620</v>
      </c>
      <c r="D4" s="5">
        <v>800</v>
      </c>
      <c r="E4" s="5">
        <v>112</v>
      </c>
      <c r="F4" s="5">
        <f t="shared" si="0"/>
        <v>708</v>
      </c>
      <c r="G4" s="5">
        <f>C4-F4</f>
        <v>912</v>
      </c>
      <c r="H4" s="5" t="s">
        <v>15</v>
      </c>
      <c r="I4" s="5">
        <v>287</v>
      </c>
      <c r="J4" s="5">
        <v>1880</v>
      </c>
      <c r="K4" s="3">
        <f t="shared" si="1"/>
        <v>0.14000000000000001</v>
      </c>
      <c r="L4" s="3">
        <f t="shared" si="2"/>
        <v>0.12280701754385964</v>
      </c>
      <c r="M4" s="4"/>
    </row>
    <row r="5" spans="1:13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33.01</v>
      </c>
      <c r="F5" s="8">
        <f t="shared" si="0"/>
        <v>701.99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0.12180811808118081</v>
      </c>
      <c r="L5" s="3">
        <f t="shared" si="2"/>
        <v>0.10858195454096904</v>
      </c>
      <c r="M5" s="4"/>
    </row>
    <row r="6" spans="1:13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33.020000000000003</v>
      </c>
      <c r="F6" s="5">
        <f t="shared" si="0"/>
        <v>725.98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0.12367041198501874</v>
      </c>
      <c r="L6" s="3">
        <f t="shared" si="2"/>
        <v>0.11005932937804148</v>
      </c>
      <c r="M6" s="4"/>
    </row>
    <row r="7" spans="1:13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0.12417293233082707</v>
      </c>
      <c r="L7" s="3">
        <f t="shared" si="2"/>
        <v>0.11045714476808348</v>
      </c>
      <c r="M7" s="4"/>
    </row>
    <row r="8" spans="1:13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 t="shared" si="0"/>
        <v>732.96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0.12102564102564102</v>
      </c>
      <c r="L8" s="3">
        <f t="shared" si="2"/>
        <v>0.10795974382433668</v>
      </c>
      <c r="M8" s="4"/>
    </row>
    <row r="9" spans="1:13" x14ac:dyDescent="0.3">
      <c r="A9" s="5">
        <v>1969</v>
      </c>
      <c r="B9" s="6" t="s">
        <v>42</v>
      </c>
      <c r="C9" s="5">
        <v>15065</v>
      </c>
      <c r="D9" s="13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  <c r="M9" s="4"/>
    </row>
    <row r="10" spans="1:13" x14ac:dyDescent="0.3">
      <c r="A10" s="8">
        <v>1969</v>
      </c>
      <c r="B10" s="9" t="s">
        <v>44</v>
      </c>
      <c r="C10" s="8">
        <v>15103</v>
      </c>
      <c r="D10" s="4">
        <v>2034</v>
      </c>
      <c r="E10" s="8">
        <v>4821</v>
      </c>
      <c r="F10" s="8">
        <f t="shared" si="0"/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 t="shared" si="1"/>
        <v>2.3702064896755162</v>
      </c>
      <c r="L10" s="3">
        <f t="shared" si="2"/>
        <v>0.70328227571115975</v>
      </c>
      <c r="M10" s="4"/>
    </row>
    <row r="11" spans="1:13" x14ac:dyDescent="0.3">
      <c r="A11" s="8">
        <v>1970</v>
      </c>
      <c r="B11" s="9" t="s">
        <v>27</v>
      </c>
      <c r="C11" s="8">
        <v>5727</v>
      </c>
      <c r="D11" s="4">
        <f>G11-E11</f>
        <v>1360</v>
      </c>
      <c r="E11" s="8">
        <v>520</v>
      </c>
      <c r="F11" s="8">
        <f>C11-G11</f>
        <v>3847</v>
      </c>
      <c r="G11" s="8">
        <v>1880</v>
      </c>
      <c r="H11" s="8" t="s">
        <v>26</v>
      </c>
      <c r="I11" s="8">
        <v>314</v>
      </c>
      <c r="J11" s="8">
        <v>1880</v>
      </c>
      <c r="K11" s="3">
        <f t="shared" si="1"/>
        <v>0.38235294117647056</v>
      </c>
      <c r="L11" s="3">
        <f t="shared" si="2"/>
        <v>0.27659574468085107</v>
      </c>
      <c r="M11" s="4"/>
    </row>
    <row r="12" spans="1:13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>C12-D12-E12</f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3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  <c r="M13" s="4"/>
    </row>
    <row r="14" spans="1:13" x14ac:dyDescent="0.3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 t="shared" si="1"/>
        <v>2.202436738519213</v>
      </c>
      <c r="L14" s="3">
        <f t="shared" si="2"/>
        <v>0.68773778167983612</v>
      </c>
      <c r="M14" s="4"/>
    </row>
    <row r="15" spans="1:13" x14ac:dyDescent="0.3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  <c r="M15" s="4"/>
    </row>
    <row r="16" spans="1:13" x14ac:dyDescent="0.3">
      <c r="A16" s="5">
        <v>1972</v>
      </c>
      <c r="B16" s="6" t="s">
        <v>28</v>
      </c>
      <c r="C16" s="5">
        <v>5750</v>
      </c>
      <c r="D16" s="5">
        <f>G16-E16</f>
        <v>1359.99</v>
      </c>
      <c r="E16" s="5">
        <v>520.01</v>
      </c>
      <c r="F16" s="5">
        <f>C16-G16</f>
        <v>3870</v>
      </c>
      <c r="G16" s="5">
        <v>1880</v>
      </c>
      <c r="H16" s="5" t="s">
        <v>26</v>
      </c>
      <c r="I16" s="5">
        <v>314</v>
      </c>
      <c r="J16" s="5">
        <v>1880</v>
      </c>
      <c r="K16" s="3">
        <f t="shared" si="1"/>
        <v>0.38236310561107067</v>
      </c>
      <c r="L16" s="3">
        <f t="shared" si="2"/>
        <v>0.27660106382978722</v>
      </c>
      <c r="M16" s="4"/>
    </row>
    <row r="17" spans="1:13" x14ac:dyDescent="0.3">
      <c r="A17" s="8">
        <v>1972</v>
      </c>
      <c r="B17" s="9" t="s">
        <v>34</v>
      </c>
      <c r="C17" s="8">
        <v>16447</v>
      </c>
      <c r="D17" s="8">
        <v>2626</v>
      </c>
      <c r="E17" s="8">
        <v>4795.01</v>
      </c>
      <c r="F17" s="8">
        <f>C17-D17-E17</f>
        <v>9025.99</v>
      </c>
      <c r="G17" s="8">
        <f>C17-F17</f>
        <v>7421.01</v>
      </c>
      <c r="H17" s="8" t="s">
        <v>35</v>
      </c>
      <c r="I17" s="8">
        <v>311</v>
      </c>
      <c r="J17" s="8">
        <v>2267</v>
      </c>
      <c r="K17" s="3">
        <f t="shared" si="1"/>
        <v>1.8259748667174411</v>
      </c>
      <c r="L17" s="3">
        <f t="shared" si="2"/>
        <v>0.64613981115778041</v>
      </c>
      <c r="M17" s="4"/>
    </row>
    <row r="18" spans="1:13" x14ac:dyDescent="0.3">
      <c r="A18" s="5">
        <v>1972</v>
      </c>
      <c r="B18" s="6" t="s">
        <v>36</v>
      </c>
      <c r="C18" s="5">
        <v>16447</v>
      </c>
      <c r="D18" s="5">
        <v>2626</v>
      </c>
      <c r="E18" s="5">
        <v>4795.0200000000004</v>
      </c>
      <c r="F18" s="5">
        <f>C18-D18-E18</f>
        <v>9025.98</v>
      </c>
      <c r="G18" s="5">
        <f>C18-F18</f>
        <v>7421.02</v>
      </c>
      <c r="H18" s="5" t="s">
        <v>37</v>
      </c>
      <c r="I18" s="5">
        <v>311</v>
      </c>
      <c r="J18" s="5">
        <v>2265</v>
      </c>
      <c r="K18" s="3">
        <f t="shared" si="1"/>
        <v>1.8259786747905562</v>
      </c>
      <c r="L18" s="3">
        <f t="shared" si="2"/>
        <v>0.64614028799275569</v>
      </c>
      <c r="M18" s="4"/>
    </row>
    <row r="19" spans="1:13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3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 t="shared" si="1"/>
        <v>6.6666666666666675E-4</v>
      </c>
      <c r="L22" s="3">
        <f t="shared" si="2"/>
        <v>6.6622251832111927E-4</v>
      </c>
      <c r="M22" s="4"/>
    </row>
    <row r="23" spans="1:13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>
        <v>2000</v>
      </c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3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 t="shared" si="1"/>
        <v>0.141675</v>
      </c>
      <c r="L24" s="3">
        <f t="shared" si="2"/>
        <v>0.12409398471544003</v>
      </c>
      <c r="M24" s="4"/>
    </row>
    <row r="25" spans="1:13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 t="shared" si="1"/>
        <v>0.14428571428571429</v>
      </c>
      <c r="L26" s="3">
        <f t="shared" si="2"/>
        <v>0.12609238451935084</v>
      </c>
      <c r="M26" s="4"/>
    </row>
    <row r="27" spans="1:13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>
        <v>2000</v>
      </c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333</v>
      </c>
      <c r="J28" s="7">
        <v>2000</v>
      </c>
      <c r="K28" s="3">
        <f t="shared" si="1"/>
        <v>8.826470588235294E-2</v>
      </c>
      <c r="L28" s="3">
        <f t="shared" si="2"/>
        <v>8.1105916056322808E-2</v>
      </c>
    </row>
    <row r="29" spans="1:13" x14ac:dyDescent="0.3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3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>
        <v>2500</v>
      </c>
      <c r="K30" s="3"/>
    </row>
  </sheetData>
  <sortState xmlns:xlrd2="http://schemas.microsoft.com/office/spreadsheetml/2017/richdata2" ref="A2:L30">
    <sortCondition ref="A2:A30"/>
  </sortState>
  <conditionalFormatting sqref="K2:K3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workbookViewId="0">
      <selection sqref="A1:L32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140" workbookViewId="0">
      <selection activeCell="N20" sqref="N20"/>
    </sheetView>
  </sheetViews>
  <sheetFormatPr baseColWidth="10" defaultColWidth="10.6640625" defaultRowHeight="14.4" x14ac:dyDescent="0.3"/>
  <cols>
    <col min="2" max="2" width="13.10937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6640625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2025-07-02T08:44:33Z</dcterms:modified>
</cp:coreProperties>
</file>