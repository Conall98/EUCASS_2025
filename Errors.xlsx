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"/>
    </mc:Choice>
  </mc:AlternateContent>
  <xr:revisionPtr revIDLastSave="0" documentId="13_ncr:1_{D382B8B4-4263-4731-8D41-53FE962DE1A8}" xr6:coauthVersionLast="47" xr6:coauthVersionMax="47" xr10:uidLastSave="{00000000-0000-0000-0000-000000000000}"/>
  <bookViews>
    <workbookView xWindow="-108" yWindow="-108" windowWidth="23256" windowHeight="12456" xr2:uid="{30A902C1-FA37-4575-AF65-6E09AA660DA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5" i="1" a="1"/>
  <c r="Q5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16" i="1" a="1"/>
  <c r="Q16" i="1" s="1"/>
  <c r="S20" i="1" l="1"/>
  <c r="S19" i="1"/>
  <c r="S23" i="1"/>
  <c r="S18" i="1"/>
  <c r="S17" i="1"/>
  <c r="S16" i="1"/>
  <c r="S25" i="1"/>
  <c r="S24" i="1"/>
  <c r="S22" i="1"/>
  <c r="S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<sst xmlns="http://schemas.openxmlformats.org/spreadsheetml/2006/main" count="55" uniqueCount="25">
  <si>
    <t>mt</t>
  </si>
  <si>
    <t>md</t>
  </si>
  <si>
    <t>mprop</t>
  </si>
  <si>
    <t>mp</t>
  </si>
  <si>
    <t>prpn</t>
  </si>
  <si>
    <t>avio</t>
  </si>
  <si>
    <t>pow</t>
  </si>
  <si>
    <t>oth</t>
  </si>
  <si>
    <t>isaji erros</t>
  </si>
  <si>
    <t>str+tps</t>
  </si>
  <si>
    <t>eclss</t>
  </si>
  <si>
    <t>routine_Ramos_N2O4</t>
  </si>
  <si>
    <t>routine_all_linear</t>
  </si>
  <si>
    <t>routine_stat_MLR_noloop</t>
  </si>
  <si>
    <t>routine_stat_MLR_iter</t>
  </si>
  <si>
    <t>routine_I_N2O4_MLR_iter</t>
  </si>
  <si>
    <t>routine_Isaji_N2O4_MLR</t>
  </si>
  <si>
    <t>routine_Isaji_N2O4</t>
  </si>
  <si>
    <t>routine_Ramos_N2O4_iter</t>
  </si>
  <si>
    <t>OLD</t>
  </si>
  <si>
    <t>New</t>
  </si>
  <si>
    <t>Means</t>
  </si>
  <si>
    <t>delta</t>
  </si>
  <si>
    <t>New with normalised DB</t>
  </si>
  <si>
    <t>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</si>
</sst>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B3AE-072F-44CD-A5AF-40E7BF9562B8}">
  <dimension ref="D4:S37"/>
  <sheetViews>
    <sheetView tabSelected="1" zoomScale="67" zoomScaleNormal="85" workbookViewId="0">
      <selection activeCell="K26" sqref="K26"/>
    </sheetView>
  </sheetViews>
  <sheetFormatPr baseColWidth="10" defaultRowHeight="14.4" x14ac:dyDescent="0.3"/>
  <cols>
    <col min="6" max="6" width="15.5546875" customWidth="1"/>
    <col min="7" max="7" width="24.6640625" customWidth="1"/>
    <col min="8" max="8" width="16.5546875" bestFit="1" customWidth="1"/>
    <col min="9" max="9" width="23.33203125" bestFit="1" customWidth="1"/>
    <col min="10" max="10" width="21.109375" customWidth="1"/>
    <col min="11" max="11" width="22.88671875" bestFit="1" customWidth="1"/>
    <col min="12" max="12" width="22.44140625" bestFit="1" customWidth="1"/>
    <col min="13" max="13" width="17.88671875" bestFit="1" customWidth="1"/>
    <col min="14" max="14" width="24" bestFit="1" customWidth="1"/>
  </cols>
  <sheetData>
    <row r="4" spans="4:19" x14ac:dyDescent="0.3">
      <c r="E4" s="1"/>
      <c r="F4" s="1" t="s">
        <v>8</v>
      </c>
      <c r="G4" s="1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24</v>
      </c>
      <c r="Q4" t="s">
        <v>21</v>
      </c>
    </row>
    <row r="5" spans="4:19" x14ac:dyDescent="0.3">
      <c r="D5" s="4" t="s">
        <v>19</v>
      </c>
      <c r="E5" t="s">
        <v>0</v>
      </c>
      <c r="F5" s="1">
        <v>-0.61399999999999999</v>
      </c>
      <c r="G5" s="1">
        <v>-2.1800000000000002</v>
      </c>
      <c r="H5" s="1">
        <v>4.4000000000000004</v>
      </c>
      <c r="I5" s="1">
        <v>4.4000000000000004</v>
      </c>
      <c r="J5" s="1">
        <v>6.03</v>
      </c>
      <c r="K5" s="1"/>
      <c r="L5" s="1">
        <v>8.1300000000000008</v>
      </c>
      <c r="M5" s="1">
        <v>2.14</v>
      </c>
      <c r="N5" s="1">
        <v>-3.27</v>
      </c>
      <c r="Q5" s="3" cm="1">
        <f t="array" ref="Q5">AVERAGEA(ABS(G5:N5))</f>
        <v>3.8187500000000001</v>
      </c>
    </row>
    <row r="6" spans="4:19" x14ac:dyDescent="0.3">
      <c r="D6" s="4"/>
      <c r="E6" t="s">
        <v>1</v>
      </c>
      <c r="F6" s="1">
        <v>-0.42499999999999999</v>
      </c>
      <c r="G6" s="1">
        <v>-25.41</v>
      </c>
      <c r="H6" s="1">
        <v>-5.39</v>
      </c>
      <c r="I6" s="1">
        <v>-5.39</v>
      </c>
      <c r="J6" s="1">
        <v>-0.4</v>
      </c>
      <c r="K6" s="1"/>
      <c r="L6" s="1">
        <v>5.97</v>
      </c>
      <c r="M6" s="1">
        <v>-12.25</v>
      </c>
      <c r="N6" s="1">
        <v>-28.73</v>
      </c>
      <c r="Q6" s="3" cm="1">
        <f t="array" ref="Q6">AVERAGEA(ABS(G6:N6))</f>
        <v>10.442499999999999</v>
      </c>
    </row>
    <row r="7" spans="4:19" x14ac:dyDescent="0.3">
      <c r="D7" s="4"/>
      <c r="E7" t="s">
        <v>2</v>
      </c>
      <c r="F7" s="1">
        <v>1.32</v>
      </c>
      <c r="G7" s="1">
        <v>2.77</v>
      </c>
      <c r="H7" s="1">
        <v>9.68</v>
      </c>
      <c r="I7" s="1">
        <v>9.68</v>
      </c>
      <c r="J7" s="1">
        <v>11.4</v>
      </c>
      <c r="K7" s="1"/>
      <c r="L7" s="1">
        <v>13.6</v>
      </c>
      <c r="M7" s="1">
        <v>7.31</v>
      </c>
      <c r="N7" s="1">
        <v>1.62</v>
      </c>
      <c r="Q7" s="3" cm="1">
        <f t="array" ref="Q7">AVERAGEA(ABS(G7:N7))</f>
        <v>7.0075000000000003</v>
      </c>
    </row>
    <row r="8" spans="4:19" x14ac:dyDescent="0.3">
      <c r="D8" s="4"/>
      <c r="E8" t="s">
        <v>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Q8" s="3" cm="1">
        <f t="array" ref="Q8">AVERAGEA(ABS(G8:N8))</f>
        <v>0</v>
      </c>
    </row>
    <row r="9" spans="4:19" x14ac:dyDescent="0.3">
      <c r="D9" s="4"/>
      <c r="E9" t="s">
        <v>9</v>
      </c>
      <c r="F9" s="1">
        <v>0.40200000000000002</v>
      </c>
      <c r="G9" s="1">
        <v>-14.01</v>
      </c>
      <c r="H9" s="1">
        <v>-14.01</v>
      </c>
      <c r="I9" s="1">
        <v>28.87</v>
      </c>
      <c r="J9" s="1">
        <v>132.65</v>
      </c>
      <c r="K9" s="1">
        <v>-2968.28</v>
      </c>
      <c r="L9" s="1">
        <v>132.65</v>
      </c>
      <c r="M9" s="1">
        <v>-14.01</v>
      </c>
      <c r="N9" s="1">
        <v>-14.01</v>
      </c>
      <c r="Q9" s="3" cm="1">
        <f t="array" ref="Q9">AVERAGEA(ABS(G9:N9))</f>
        <v>414.81125000000009</v>
      </c>
    </row>
    <row r="10" spans="4:19" x14ac:dyDescent="0.3">
      <c r="D10" s="4"/>
      <c r="E10" t="s">
        <v>4</v>
      </c>
      <c r="F10" s="1">
        <v>-0.85299999999999998</v>
      </c>
      <c r="G10" s="1">
        <v>-30.56</v>
      </c>
      <c r="H10" s="1">
        <v>-80.040000000000006</v>
      </c>
      <c r="I10" s="1">
        <v>-3.9</v>
      </c>
      <c r="J10" s="1">
        <v>5.0199999999999996</v>
      </c>
      <c r="K10" s="1"/>
      <c r="L10" s="1">
        <v>35.549999999999997</v>
      </c>
      <c r="M10" s="1">
        <v>32.51</v>
      </c>
      <c r="N10" s="1">
        <v>-31.18</v>
      </c>
      <c r="Q10" s="3" cm="1">
        <f t="array" ref="Q10">AVERAGEA(ABS(G10:N10))</f>
        <v>27.344999999999999</v>
      </c>
    </row>
    <row r="11" spans="4:19" x14ac:dyDescent="0.3">
      <c r="D11" s="4"/>
      <c r="E11" t="s">
        <v>5</v>
      </c>
      <c r="F11" s="1">
        <v>-8.82</v>
      </c>
      <c r="G11" s="1">
        <v>499.23</v>
      </c>
      <c r="H11" s="1">
        <v>499.23</v>
      </c>
      <c r="I11" s="1">
        <v>1668.28</v>
      </c>
      <c r="J11" s="1">
        <v>557.01</v>
      </c>
      <c r="K11" s="1">
        <v>-45451</v>
      </c>
      <c r="L11" s="1">
        <v>557.01</v>
      </c>
      <c r="M11" s="1">
        <v>499.23</v>
      </c>
      <c r="N11" s="1">
        <v>355.27</v>
      </c>
      <c r="Q11" s="3" cm="1">
        <f t="array" ref="Q11">AVERAGEA(ABS(G11:N11))</f>
        <v>6260.7825000000003</v>
      </c>
    </row>
    <row r="12" spans="4:19" x14ac:dyDescent="0.3">
      <c r="D12" s="4"/>
      <c r="E12" t="s">
        <v>6</v>
      </c>
      <c r="F12" s="1">
        <v>-3.51</v>
      </c>
      <c r="G12" s="1">
        <v>-3.99</v>
      </c>
      <c r="H12" s="1">
        <v>-3.99</v>
      </c>
      <c r="I12" s="1">
        <v>-5.54</v>
      </c>
      <c r="J12" s="1">
        <v>-18.07</v>
      </c>
      <c r="K12" s="1">
        <v>-2575.29</v>
      </c>
      <c r="L12" s="1">
        <v>-18.07</v>
      </c>
      <c r="M12" s="1">
        <v>-3.99</v>
      </c>
      <c r="N12" s="1">
        <v>-6.64</v>
      </c>
      <c r="Q12" s="3" cm="1">
        <f t="array" ref="Q12">AVERAGEA(ABS(G12:N12))</f>
        <v>329.44749999999999</v>
      </c>
    </row>
    <row r="13" spans="4:19" x14ac:dyDescent="0.3">
      <c r="D13" s="4"/>
      <c r="E13" t="s">
        <v>10</v>
      </c>
      <c r="F13" s="1">
        <v>0</v>
      </c>
      <c r="G13" s="1">
        <v>-16.28</v>
      </c>
      <c r="H13" s="1">
        <v>-16.28</v>
      </c>
      <c r="I13" s="1">
        <v>78.11</v>
      </c>
      <c r="J13" s="1">
        <v>-75.849999999999994</v>
      </c>
      <c r="K13" s="1">
        <v>-4824.29</v>
      </c>
      <c r="L13" s="1">
        <v>-75.849999999999994</v>
      </c>
      <c r="M13" s="1">
        <v>-16.28</v>
      </c>
      <c r="N13" s="1">
        <v>-22.26</v>
      </c>
      <c r="Q13" s="3" cm="1">
        <f t="array" ref="Q13">AVERAGEA(ABS(G13:N13))</f>
        <v>640.65</v>
      </c>
    </row>
    <row r="14" spans="4:19" x14ac:dyDescent="0.3">
      <c r="D14" s="4"/>
      <c r="E14" t="s">
        <v>7</v>
      </c>
      <c r="F14" s="1">
        <v>-29.1</v>
      </c>
      <c r="G14" s="1">
        <v>-38.71</v>
      </c>
      <c r="H14" s="1">
        <v>-38.71</v>
      </c>
      <c r="I14" s="1">
        <v>-247.05</v>
      </c>
      <c r="J14" s="1">
        <v>-32.020000000000003</v>
      </c>
      <c r="K14" s="1">
        <v>3672.82</v>
      </c>
      <c r="L14" s="1">
        <v>-32.020000000000003</v>
      </c>
      <c r="M14" s="1">
        <v>-38.71</v>
      </c>
      <c r="N14" s="1">
        <v>-38.71</v>
      </c>
      <c r="Q14" s="3" cm="1">
        <f t="array" ref="Q14">AVERAGEA(ABS(G14:N14))</f>
        <v>517.34375</v>
      </c>
    </row>
    <row r="15" spans="4:19" x14ac:dyDescent="0.3">
      <c r="D15" s="4" t="s">
        <v>20</v>
      </c>
      <c r="E15" s="1"/>
      <c r="F15" s="1" t="s">
        <v>8</v>
      </c>
      <c r="G15" s="1" t="s">
        <v>11</v>
      </c>
      <c r="H15" t="s">
        <v>12</v>
      </c>
      <c r="I15" t="s">
        <v>13</v>
      </c>
      <c r="J15" t="s">
        <v>14</v>
      </c>
      <c r="K15" t="s">
        <v>15</v>
      </c>
      <c r="L15" t="s">
        <v>16</v>
      </c>
      <c r="M15" t="s">
        <v>17</v>
      </c>
      <c r="N15" t="s">
        <v>18</v>
      </c>
      <c r="S15" t="s">
        <v>22</v>
      </c>
    </row>
    <row r="16" spans="4:19" x14ac:dyDescent="0.3">
      <c r="D16" s="4"/>
      <c r="E16" t="s">
        <v>0</v>
      </c>
      <c r="F16" s="1">
        <v>-0.61399999999999999</v>
      </c>
      <c r="G16" s="1">
        <v>-8.93</v>
      </c>
      <c r="H16" s="1">
        <v>4.4000000000000004</v>
      </c>
      <c r="I16" s="1">
        <v>4.4000000000000004</v>
      </c>
      <c r="J16" s="1">
        <v>7.27</v>
      </c>
      <c r="K16" s="1">
        <v>19.71</v>
      </c>
      <c r="L16" s="1">
        <v>6.76</v>
      </c>
      <c r="M16" s="1">
        <v>-5.0599999999999996</v>
      </c>
      <c r="N16" s="1">
        <v>-11.17</v>
      </c>
      <c r="O16">
        <v>5.25</v>
      </c>
      <c r="Q16" s="3" cm="1">
        <f t="array" ref="Q16">AVERAGEA(ABS(G16:N16))</f>
        <v>8.4625000000000004</v>
      </c>
      <c r="S16" s="2">
        <f t="shared" ref="S16:S25" si="0">Q16-ABS(Q5)</f>
        <v>4.6437500000000007</v>
      </c>
    </row>
    <row r="17" spans="4:19" x14ac:dyDescent="0.3">
      <c r="D17" s="4"/>
      <c r="E17" t="s">
        <v>1</v>
      </c>
      <c r="F17" s="1">
        <v>-0.42499999999999999</v>
      </c>
      <c r="G17" s="1">
        <v>-45.95</v>
      </c>
      <c r="H17" s="1">
        <v>-5.39</v>
      </c>
      <c r="I17" s="1">
        <v>-5.39</v>
      </c>
      <c r="J17" s="1">
        <v>3.35</v>
      </c>
      <c r="K17" s="1">
        <v>41.24</v>
      </c>
      <c r="L17" s="1">
        <v>1.8</v>
      </c>
      <c r="M17" s="1">
        <v>-34.159999999999997</v>
      </c>
      <c r="N17" s="1">
        <v>-52.77</v>
      </c>
      <c r="O17">
        <v>-2.78</v>
      </c>
      <c r="Q17" s="3" cm="1">
        <f t="array" ref="Q17">AVERAGEA(ABS(G17:N17))</f>
        <v>23.756250000000001</v>
      </c>
      <c r="S17" s="2">
        <f t="shared" si="0"/>
        <v>13.313750000000002</v>
      </c>
    </row>
    <row r="18" spans="4:19" x14ac:dyDescent="0.3">
      <c r="D18" s="4"/>
      <c r="E18" t="s">
        <v>2</v>
      </c>
      <c r="F18" s="1">
        <v>1.32</v>
      </c>
      <c r="G18" s="1">
        <v>-4.32</v>
      </c>
      <c r="H18" s="1">
        <v>9.68</v>
      </c>
      <c r="I18" s="1">
        <v>9.68</v>
      </c>
      <c r="J18" s="1">
        <v>12.69</v>
      </c>
      <c r="K18" s="1">
        <v>25.77</v>
      </c>
      <c r="L18" s="1">
        <v>12.16</v>
      </c>
      <c r="M18" s="1">
        <v>-0.25</v>
      </c>
      <c r="N18" s="1">
        <v>-6.68</v>
      </c>
      <c r="O18">
        <v>10.58</v>
      </c>
      <c r="Q18" s="3" cm="1">
        <f t="array" ref="Q18">AVERAGEA(ABS(G18:N18))</f>
        <v>10.153749999999999</v>
      </c>
      <c r="S18" s="2">
        <f t="shared" si="0"/>
        <v>3.1462499999999984</v>
      </c>
    </row>
    <row r="19" spans="4:19" x14ac:dyDescent="0.3">
      <c r="D19" s="4"/>
      <c r="E19" t="s">
        <v>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>
        <v>0</v>
      </c>
      <c r="Q19" s="3" cm="1">
        <f t="array" ref="Q19">AVERAGEA(ABS(G19:N19))</f>
        <v>0</v>
      </c>
      <c r="S19" s="2">
        <f t="shared" si="0"/>
        <v>0</v>
      </c>
    </row>
    <row r="20" spans="4:19" x14ac:dyDescent="0.3">
      <c r="D20" s="4"/>
      <c r="E20" t="s">
        <v>9</v>
      </c>
      <c r="F20" s="1">
        <v>0.40200000000000002</v>
      </c>
      <c r="G20" s="1">
        <v>-14.01</v>
      </c>
      <c r="H20" s="1">
        <v>-14.01</v>
      </c>
      <c r="I20" s="1">
        <v>-14.01</v>
      </c>
      <c r="J20" s="1">
        <v>17.55</v>
      </c>
      <c r="K20" s="1">
        <v>13.26</v>
      </c>
      <c r="L20" s="1">
        <v>17.55</v>
      </c>
      <c r="M20" s="1">
        <v>-14.01</v>
      </c>
      <c r="N20" s="1">
        <v>-14.01</v>
      </c>
      <c r="O20">
        <v>22.3</v>
      </c>
      <c r="Q20" s="3" cm="1">
        <f t="array" ref="Q20">AVERAGEA(ABS(G20:N20))</f>
        <v>14.801250000000001</v>
      </c>
      <c r="S20" s="2">
        <f t="shared" si="0"/>
        <v>-400.0100000000001</v>
      </c>
    </row>
    <row r="21" spans="4:19" x14ac:dyDescent="0.3">
      <c r="D21" s="4"/>
      <c r="E21" t="s">
        <v>4</v>
      </c>
      <c r="F21" s="1">
        <v>-0.85299999999999998</v>
      </c>
      <c r="G21" s="1">
        <v>-34.44</v>
      </c>
      <c r="H21" s="1">
        <v>-59.77</v>
      </c>
      <c r="I21" s="1">
        <v>-59.77</v>
      </c>
      <c r="J21" s="1">
        <v>42.96</v>
      </c>
      <c r="K21" s="1">
        <v>35.549999999999997</v>
      </c>
      <c r="L21" s="1">
        <v>35.549999999999997</v>
      </c>
      <c r="M21" s="1">
        <v>22.08</v>
      </c>
      <c r="N21" s="1">
        <v>-35.68</v>
      </c>
      <c r="O21">
        <v>15.39</v>
      </c>
      <c r="Q21" s="3" cm="1">
        <f t="array" ref="Q21">AVERAGEA(ABS(G21:N21))</f>
        <v>40.725000000000001</v>
      </c>
      <c r="S21" s="2">
        <f t="shared" si="0"/>
        <v>13.380000000000003</v>
      </c>
    </row>
    <row r="22" spans="4:19" x14ac:dyDescent="0.3">
      <c r="D22" s="4"/>
      <c r="E22" t="s">
        <v>5</v>
      </c>
      <c r="F22" s="1">
        <v>-8.82</v>
      </c>
      <c r="G22" s="1">
        <v>305.61</v>
      </c>
      <c r="H22" s="1">
        <v>305.61</v>
      </c>
      <c r="I22" s="1">
        <v>305.61</v>
      </c>
      <c r="J22" s="1">
        <v>394.09</v>
      </c>
      <c r="K22" s="1">
        <v>1834.73</v>
      </c>
      <c r="L22" s="1">
        <v>394.09</v>
      </c>
      <c r="M22" s="1">
        <v>305.61</v>
      </c>
      <c r="N22" s="1">
        <v>245.4</v>
      </c>
      <c r="O22">
        <v>391.46</v>
      </c>
      <c r="Q22" s="3" cm="1">
        <f t="array" ref="Q22">AVERAGEA(ABS(G22:N22))</f>
        <v>511.34375000000006</v>
      </c>
      <c r="S22" s="2">
        <f t="shared" si="0"/>
        <v>-5749.4387500000003</v>
      </c>
    </row>
    <row r="23" spans="4:19" x14ac:dyDescent="0.3">
      <c r="D23" s="4"/>
      <c r="E23" t="s">
        <v>6</v>
      </c>
      <c r="F23" s="1">
        <v>-3.51</v>
      </c>
      <c r="G23" s="1">
        <v>-63.01</v>
      </c>
      <c r="H23" s="1">
        <v>-63.01</v>
      </c>
      <c r="I23" s="1">
        <v>-63.01</v>
      </c>
      <c r="J23" s="1">
        <v>-26.66</v>
      </c>
      <c r="K23" s="1">
        <v>-8.0399999999999991</v>
      </c>
      <c r="L23" s="1">
        <v>-26.66</v>
      </c>
      <c r="M23" s="1">
        <v>-63.01</v>
      </c>
      <c r="N23" s="1">
        <v>-81.45</v>
      </c>
      <c r="O23">
        <v>-33.93</v>
      </c>
      <c r="Q23" s="3" cm="1">
        <f t="array" ref="Q23">AVERAGEA(ABS(G23:N23))</f>
        <v>49.356249999999996</v>
      </c>
      <c r="S23" s="2">
        <f t="shared" si="0"/>
        <v>-280.09125</v>
      </c>
    </row>
    <row r="24" spans="4:19" x14ac:dyDescent="0.3">
      <c r="D24" s="4"/>
      <c r="E24" t="s">
        <v>10</v>
      </c>
      <c r="F24" s="1">
        <v>0</v>
      </c>
      <c r="G24" s="1">
        <v>-40.93</v>
      </c>
      <c r="H24" s="1">
        <v>-40.93</v>
      </c>
      <c r="I24" s="1">
        <v>-40.93</v>
      </c>
      <c r="J24" s="1">
        <v>-42.12</v>
      </c>
      <c r="K24" s="1">
        <v>74.12</v>
      </c>
      <c r="L24" s="1">
        <v>-42.12</v>
      </c>
      <c r="M24" s="1">
        <v>-40.93</v>
      </c>
      <c r="N24" s="1">
        <v>-49.69</v>
      </c>
      <c r="O24">
        <v>-41.78</v>
      </c>
      <c r="Q24" s="3" cm="1">
        <f t="array" ref="Q24">AVERAGEA(ABS(G24:N24))</f>
        <v>46.471249999999998</v>
      </c>
      <c r="S24" s="2">
        <f t="shared" si="0"/>
        <v>-594.17875000000004</v>
      </c>
    </row>
    <row r="25" spans="4:19" x14ac:dyDescent="0.3">
      <c r="E25" t="s">
        <v>7</v>
      </c>
      <c r="F25" s="1">
        <v>-29.1</v>
      </c>
      <c r="G25" s="1">
        <v>-74.010000000000005</v>
      </c>
      <c r="H25" s="1">
        <v>-74.010000000000005</v>
      </c>
      <c r="I25" s="1">
        <v>-74.010000000000005</v>
      </c>
      <c r="J25" s="1">
        <v>104.61</v>
      </c>
      <c r="K25" s="1">
        <v>104.61</v>
      </c>
      <c r="L25" s="1">
        <v>104.61</v>
      </c>
      <c r="M25" s="1">
        <v>-74.010000000000005</v>
      </c>
      <c r="N25" s="1">
        <v>-86.97</v>
      </c>
      <c r="O25">
        <v>102.79</v>
      </c>
      <c r="Q25" s="3" cm="1">
        <f t="array" ref="Q25">AVERAGEA(ABS(G25:N25))</f>
        <v>87.105000000000004</v>
      </c>
      <c r="S25" s="2">
        <f t="shared" si="0"/>
        <v>-430.23874999999998</v>
      </c>
    </row>
    <row r="27" spans="4:19" x14ac:dyDescent="0.3">
      <c r="D27" s="5" t="s">
        <v>23</v>
      </c>
      <c r="E27" s="1"/>
      <c r="F27" s="1" t="s">
        <v>8</v>
      </c>
    </row>
    <row r="28" spans="4:19" x14ac:dyDescent="0.3">
      <c r="D28" s="5"/>
      <c r="E28" t="s">
        <v>0</v>
      </c>
      <c r="F28" s="1">
        <v>-0.61399999999999999</v>
      </c>
    </row>
    <row r="29" spans="4:19" x14ac:dyDescent="0.3">
      <c r="D29" s="5"/>
      <c r="E29" t="s">
        <v>1</v>
      </c>
      <c r="F29" s="1">
        <v>-0.42499999999999999</v>
      </c>
    </row>
    <row r="30" spans="4:19" x14ac:dyDescent="0.3">
      <c r="D30" s="5"/>
      <c r="E30" t="s">
        <v>2</v>
      </c>
      <c r="F30" s="1">
        <v>1.32</v>
      </c>
    </row>
    <row r="31" spans="4:19" x14ac:dyDescent="0.3">
      <c r="D31" s="5"/>
      <c r="E31" t="s">
        <v>3</v>
      </c>
      <c r="F31" s="1">
        <v>0</v>
      </c>
    </row>
    <row r="32" spans="4:19" x14ac:dyDescent="0.3">
      <c r="D32" s="5"/>
      <c r="E32" t="s">
        <v>9</v>
      </c>
      <c r="F32" s="1">
        <v>0.40200000000000002</v>
      </c>
    </row>
    <row r="33" spans="4:6" x14ac:dyDescent="0.3">
      <c r="D33" s="5"/>
      <c r="E33" t="s">
        <v>4</v>
      </c>
      <c r="F33" s="1">
        <v>-0.85299999999999998</v>
      </c>
    </row>
    <row r="34" spans="4:6" x14ac:dyDescent="0.3">
      <c r="D34" s="5"/>
      <c r="E34" t="s">
        <v>5</v>
      </c>
      <c r="F34" s="1">
        <v>-8.82</v>
      </c>
    </row>
    <row r="35" spans="4:6" x14ac:dyDescent="0.3">
      <c r="D35" s="5"/>
      <c r="E35" t="s">
        <v>6</v>
      </c>
      <c r="F35" s="1">
        <v>-3.51</v>
      </c>
    </row>
    <row r="36" spans="4:6" x14ac:dyDescent="0.3">
      <c r="D36" s="5"/>
      <c r="E36" t="s">
        <v>10</v>
      </c>
      <c r="F36" s="1">
        <v>0</v>
      </c>
    </row>
    <row r="37" spans="4:6" x14ac:dyDescent="0.3">
      <c r="E37" t="s">
        <v>7</v>
      </c>
      <c r="F37" s="1">
        <v>-29.1</v>
      </c>
    </row>
  </sheetData>
  <mergeCells count="3">
    <mergeCell ref="D5:D14"/>
    <mergeCell ref="D15:D24"/>
    <mergeCell ref="D27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2025-07-09T08:48:32Z</dcterms:created>
  <dcterms:modified xsi:type="dcterms:W3CDTF">2025-08-04T16:14:07Z</dcterms:modified>
</cp:coreProperties>
</file>